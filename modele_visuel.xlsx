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829a37263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ec Montants" sheetId="1" r:id="R2f4d5df5856a4e60"/>
    <x:sheet xmlns:r="http://schemas.openxmlformats.org/officeDocument/2006/relationships" name="Sans Montants" sheetId="2" r:id="R5e73fc1c4a3d4e2c"/>
    <x:sheet xmlns:r="http://schemas.openxmlformats.org/officeDocument/2006/relationships" name="Barres" sheetId="3" r:id="Rf9052cad700840f8"/>
    <x:sheet xmlns:r="http://schemas.openxmlformats.org/officeDocument/2006/relationships" name="Planning dynamique" sheetId="4" r:id="R951b659f1bc94aee"/>
  </x:sheets>
</x:workbook>
</file>

<file path=xl/sharedStrings.xml><?xml version="1.0" encoding="utf-8"?>
<x:sst xmlns:x="http://schemas.openxmlformats.org/spreadsheetml/2006/main">
  <x:si>
    <x:t xml:space="preserve">CHANTIER : EPHAD RESIDENCE LES FLEURS DE LA LYS - LOT PEINTURE</x:t>
  </x:si>
  <x:si>
    <x:t xml:space="preserve">Effectif</x:t>
  </x:si>
  <x:si>
    <x:t xml:space="preserve">Durée en jours ouvrés</x:t>
  </x:si>
  <x:si>
    <x:t xml:space="preserve">Peintures Intérieures</x:t>
  </x:si>
  <x:si>
    <x:t xml:space="preserve">Préparations et mise en peinture des plafonds</x:t>
  </x:si>
  <x:si>
    <x:t xml:space="preserve">Préparation et mise en peinture des murs compris joints acryliques</x:t>
  </x:si>
  <x:si>
    <x:t xml:space="preserve">Mise en peinture des boiseries</x:t>
  </x:si>
  <x:si>
    <x:t xml:space="preserve">Mise en peinture des métalleries</x:t>
  </x:si>
  <x:si>
    <x:t xml:space="preserve">Durée totale</x:t>
  </x:si>
  <x:si>
    <x:t xml:space="preserve">CHANTIER : EPHAD RESIDENCE LES FLEURS DE LA LYS - LOT SOL SOUPLE</x:t>
  </x:si>
  <x:si>
    <x:t xml:space="preserve">Sol souples</x:t>
  </x:si>
  <x:si>
    <x:t xml:space="preserve">Chambres et salles de bains</x:t>
  </x:si>
  <x:si>
    <x:t xml:space="preserve">Dépose et ragréage des sols</x:t>
  </x:si>
  <x:si>
    <x:t xml:space="preserve">Pose de sol PVC avec remontée en plinthes</x:t>
  </x:si>
  <x:si>
    <x:t xml:space="preserve">Circulation, locaux annexes</x:t>
  </x:si>
  <x:si>
    <x:t xml:space="preserve">Pose de sol PVC avec remontée en plinthes compris reprise de sol dans la salle de bains commune</x:t>
  </x:si>
  <x:si>
    <x:t xml:space="preserve">Raccords de sol</x:t>
  </x:si>
  <x:si>
    <x:t xml:space="preserve">Traitement des jonctions de sol au droit des seuils et pose des joints de dilatations</x:t>
  </x:si>
  <x:si>
    <x:t xml:space="preserve">PEINTURE</x:t>
  </x:si>
  <x:si>
    <x:t xml:space="preserve">SOL SOUPLES</x:t>
  </x:si>
  <x:si>
    <x:t xml:space="preserve">Semaine 1</x:t>
  </x:si>
  <x:si>
    <x:t xml:space="preserve">Semaine 2</x:t>
  </x:si>
  <x:si>
    <x:t xml:space="preserve">Semaine 3</x:t>
  </x:si>
  <x:si>
    <x:t xml:space="preserve">Semaine 4</x:t>
  </x:si>
  <x:si>
    <x:t xml:space="preserve">Semaine 5</x:t>
  </x:si>
  <x:si>
    <x:t xml:space="preserve">Semaine 6</x:t>
  </x:si>
  <x:si>
    <x:t xml:space="preserve">Semaine 7</x:t>
  </x:si>
  <x:si>
    <x:t xml:space="preserve">Préparation et mise en peinture des plafonds</x:t>
  </x:si>
  <x:si>
    <x:t xml:space="preserve">Circulations, locaux annexes</x:t>
  </x:si>
  <x:si>
    <x:t xml:space="preserve">Remarque :</x:t>
  </x:si>
  <x:si>
    <x:t xml:space="preserve"> Les travaux de revêtements de sols souples et de peintures peuvent être réalisés simultanément dans des zones d’intervention différentes de manière à réduire le délai global.</x:t>
  </x:si>
  <x:si>
    <x:t xml:space="preserve">Pour le Sol :</x:t>
  </x:si>
  <x:si>
    <x:t xml:space="preserve"> - Prévoir 48h de séchage du ragréage avant pose du sol PVC</x:t>
  </x:si>
</x:sst>
</file>

<file path=xl/styles.xml><?xml version="1.0" encoding="utf-8"?>
<x:styleSheet xmlns:x="http://schemas.openxmlformats.org/spreadsheetml/2006/main">
  <x:numFmts count="6">
    <x:numFmt numFmtId="164" formatCode="_-* #,##0.00\ [$€-1]_-;\-* #,##0.00\ [$€-1]_-;_-* \-??\ [$€-1]_-"/>
    <x:numFmt numFmtId="165" formatCode="0&quot; Jours&quot;"/>
    <x:numFmt numFmtId="166" formatCode="0&quot; U&quot;"/>
    <x:numFmt numFmtId="167" formatCode="0.0&quot; j&quot;"/>
    <x:numFmt numFmtId="168" formatCode="0.00&quot; Jours&quot;"/>
    <x:numFmt numFmtId="200" formatCode="0.0 &quot;j&quot;"/>
  </x:numFmts>
  <x:fonts count="25">
    <x:font>
      <x:sz val="10"/>
      <x:name val="Arial"/>
    </x:font>
    <x:font>
      <x:sz val="10"/>
      <x:name val="Arial"/>
    </x:font>
    <x:font>
      <x:sz val="10"/>
      <x:name val="Comic Sans MS"/>
    </x:font>
    <x:font>
      <x:b/>
      <x:sz val="10"/>
      <x:name val="Comic Sans MS"/>
    </x:font>
    <x:font>
      <x:sz val="18"/>
      <x:color rgb="FF003366"/>
      <x:name val="Arial"/>
    </x:font>
    <x:font>
      <x:b/>
      <x:sz val="18"/>
      <x:color rgb="FF003366"/>
      <x:name val="Arial"/>
    </x:font>
    <x:font>
      <x:sz val="10"/>
      <x:name val="Arial"/>
    </x:font>
    <x:font>
      <x:b/>
      <x:i/>
      <x:sz val="8"/>
      <x:color rgb="FF003366"/>
      <x:name val="Arial"/>
    </x:font>
    <x:font>
      <x:sz val="10"/>
      <x:name val="Arial"/>
    </x:font>
    <x:font>
      <x:sz val="10"/>
      <x:color rgb="FF003366"/>
      <x:name val="Arial"/>
    </x:font>
    <x:font>
      <x:sz val="10"/>
      <x:color rgb="FF00CCFF"/>
      <x:name val="Arial"/>
    </x:font>
    <x:font>
      <x:b/>
      <x:i/>
      <x:sz val="12"/>
      <x:name val="Arial"/>
    </x:font>
    <x:font>
      <x:sz val="12"/>
      <x:name val="Arial"/>
    </x:font>
    <x:font>
      <x:b/>
      <x:i/>
      <x:sz val="12"/>
      <x:name val="Arial"/>
    </x:font>
    <x:font>
      <x:sz val="12"/>
      <x:name val="Calibri"/>
    </x:font>
    <x:font>
      <x:b/>
      <x:sz val="15"/>
      <x:color rgb="FF003B6F"/>
      <x:name val="Arial"/>
    </x:font>
    <x:font>
      <x:b/>
      <x:sz val="10"/>
      <x:color rgb="FF003B6F"/>
      <x:name val="Arial"/>
    </x:font>
    <x:font>
      <x:b/>
      <x:i/>
      <x:sz val="9"/>
      <x:color rgb="FF003B6F"/>
      <x:name val="Arial"/>
    </x:font>
    <x:font>
      <x:b/>
      <x:sz val="10"/>
      <x:name val="Arial"/>
    </x:font>
    <x:font>
      <x:i/>
      <x:sz val="10"/>
      <x:name val="Arial"/>
    </x:font>
    <x:font>
      <x:b/>
      <x:i/>
      <x:sz val="10"/>
      <x:name val="Arial"/>
    </x:font>
    <x:font>
      <x:sz val="10"/>
      <x:name val="Arial"/>
    </x:font>
    <x:font>
      <x:i/>
      <x:sz val="10"/>
      <x:name val="Arial"/>
    </x:font>
    <x:font>
      <x:b/>
      <x:sz val="10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theme="5" tint="0.79998"/>
      </x:patternFill>
    </x:fill>
    <x:fill>
      <x:patternFill patternType="solid">
        <x:fgColor rgb="FF00B0F0"/>
      </x:patternFill>
    </x:fill>
    <x:fill>
      <x:patternFill patternType="solid">
        <x:fgColor rgb="FFB7DFF5"/>
      </x:patternFill>
    </x:fill>
    <x:fill>
      <x:patternFill patternType="solid">
        <x:fgColor rgb="FFB7DFF5"/>
      </x:patternFill>
    </x:fill>
  </x:fills>
  <x:borders count="115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dotted">
        <x:color auto="1"/>
      </x:left>
      <x:right style="dotted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left style="thin">
        <x:color auto="1"/>
      </x:left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thin">
        <x:color auto="1"/>
      </x:left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dotted">
        <x:color auto="1"/>
      </x:left>
      <x:right style="dotted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</x:border>
    <x:border>
      <x:left style="thin">
        <x:color auto="1"/>
      </x:left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</x:border>
    <x:border>
      <x:left style="thin">
        <x:color auto="1"/>
      </x:left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none"/>
      <x:top style="thin">
        <x:color rgb="FF000000"/>
      </x:top>
      <x:bottom style="thin">
        <x:color rgb="FF000000"/>
      </x:bottom>
    </x:border>
    <x:border>
      <x:left style="none"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none"/>
      <x:top style="thin">
        <x:color rgb="FF000000"/>
      </x:top>
      <x:bottom style="thin">
        <x:color rgb="FF000000"/>
      </x:bottom>
    </x:border>
    <x:border>
      <x:left style="none"/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164" fontId="1" fillId="0" borderId="0"/>
  </x:cellStyleXfs>
  <x:cellXfs count="510">
    <x:xf numFmtId="0" fontId="0" fillId="0" borderId="0" xfId="0"/>
    <x:xf numFmtId="0" fontId="2" fillId="0" borderId="0" xfId="0" applyFont="1"/>
    <x:xf numFmtId="164" fontId="2" fillId="0" borderId="0" xfId="0" applyNumberFormat="1" applyFont="1"/>
    <x:xf numFmtId="165" fontId="2" fillId="0" borderId="0" xfId="0" applyNumberFormat="1" applyFont="1"/>
    <x:xf numFmtId="166" fontId="2" fillId="0" borderId="0" xfId="0" applyNumberFormat="1" applyFont="1"/>
    <x:xf numFmtId="167" fontId="2" fillId="0" borderId="0" xfId="0" applyNumberFormat="1" applyFont="1" applyAlignment="1">
      <x:alignment horizontal="center"/>
    </x:xf>
    <x:xf numFmtId="166" fontId="2" fillId="0" borderId="2" xfId="0" applyNumberFormat="1" applyFont="1" applyBorder="1" applyAlignment="1">
      <x:alignment horizontal="center"/>
    </x:xf>
    <x:xf numFmtId="167" fontId="2" fillId="0" borderId="3" xfId="0" applyNumberFormat="1" applyFont="1" applyBorder="1" applyAlignment="1">
      <x:alignment horizontal="center" wrapText="1"/>
    </x:xf>
    <x:xf numFmtId="166" fontId="2" fillId="0" borderId="4" xfId="0" applyNumberFormat="1" applyFont="1" applyBorder="1" applyAlignment="1">
      <x:alignment horizontal="center"/>
    </x:xf>
    <x:xf numFmtId="167" fontId="2" fillId="0" borderId="4" xfId="0" applyNumberFormat="1" applyFont="1" applyBorder="1" applyAlignment="1">
      <x:alignment horizontal="center"/>
    </x:xf>
    <x:xf numFmtId="0" fontId="3" fillId="0" borderId="5" xfId="0" applyFont="1" applyBorder="1" applyAlignment="1">
      <x:alignment vertical="top" wrapText="1"/>
    </x:xf>
    <x:xf numFmtId="0" fontId="2" fillId="0" borderId="2" xfId="0" applyFont="1" applyBorder="1" applyAlignment="1">
      <x:alignment vertical="center"/>
    </x:xf>
    <x:xf numFmtId="164" fontId="2" fillId="0" borderId="6" xfId="0" applyNumberFormat="1" applyFont="1" applyBorder="1" applyAlignment="1">
      <x:alignment vertical="center"/>
    </x:xf>
    <x:xf numFmtId="165" fontId="2" fillId="0" borderId="6" xfId="0" applyNumberFormat="1" applyFont="1" applyBorder="1" applyAlignment="1">
      <x:alignment vertical="center"/>
    </x:xf>
    <x:xf numFmtId="166" fontId="2" fillId="0" borderId="6" xfId="0" applyNumberFormat="1" applyFont="1" applyBorder="1" applyAlignment="1">
      <x:alignment horizontal="center" vertical="center"/>
    </x:xf>
    <x:xf numFmtId="167" fontId="2" fillId="0" borderId="3" xfId="0" applyNumberFormat="1" applyFont="1" applyBorder="1" applyAlignment="1">
      <x:alignment horizontal="center" vertical="center"/>
    </x:xf>
    <x:xf numFmtId="0" fontId="2" fillId="0" borderId="0" xfId="0" applyFont="1" applyAlignment="1">
      <x:alignment vertical="top"/>
    </x:xf>
    <x:xf numFmtId="0" fontId="2" fillId="0" borderId="2" xfId="0" applyFont="1" applyBorder="1" applyAlignment="1">
      <x:alignment vertical="center" wrapText="1"/>
    </x:xf>
    <x:xf numFmtId="165" fontId="3" fillId="0" borderId="0" xfId="0" applyNumberFormat="1" applyFont="1"/>
    <x:xf numFmtId="167" fontId="3" fillId="0" borderId="0" xfId="0" applyNumberFormat="1" applyFont="1" applyAlignment="1">
      <x:alignment horizontal="center"/>
    </x:xf>
    <x:xf numFmtId="0" fontId="0" fillId="0" borderId="0" xfId="0" applyAlignment="1">
      <x:alignment vertical="center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6" fillId="0" borderId="0" xfId="0" applyFont="1"/>
    <x:xf numFmtId="0" fontId="6" fillId="0" borderId="0" xfId="0" applyFont="1" applyAlignment="1">
      <x:alignment vertical="center" wrapText="1"/>
    </x:xf>
    <x:xf numFmtId="0" fontId="8" fillId="0" borderId="5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167" fontId="6" fillId="0" borderId="3" xfId="0" applyNumberFormat="1" applyFont="1" applyBorder="1" applyAlignment="1">
      <x:alignment horizontal="center" vertical="center" wrapText="1"/>
    </x:xf>
    <x:xf numFmtId="0" fontId="6" fillId="0" borderId="9" xfId="0" applyFont="1" applyBorder="1" applyAlignment="1">
      <x:alignment vertical="center" wrapText="1"/>
    </x:xf>
    <x:xf numFmtId="0" fontId="6" fillId="0" borderId="10" xfId="0" applyFont="1" applyBorder="1" applyAlignment="1">
      <x:alignment vertical="center" wrapText="1"/>
    </x:xf>
    <x:xf numFmtId="0" fontId="6" fillId="0" borderId="11" xfId="0" applyFont="1" applyBorder="1" applyAlignment="1">
      <x:alignment vertical="center" wrapText="1"/>
    </x:xf>
    <x:xf numFmtId="0" fontId="9" fillId="0" borderId="8" xfId="0" applyFont="1" applyBorder="1" applyAlignment="1">
      <x:alignment vertical="center" wrapText="1"/>
    </x:xf>
    <x:xf numFmtId="0" fontId="9" fillId="0" borderId="9" xfId="0" applyFont="1" applyBorder="1" applyAlignment="1">
      <x:alignment vertical="center" wrapText="1"/>
    </x:xf>
    <x:xf numFmtId="0" fontId="9" fillId="0" borderId="10" xfId="0" applyFont="1" applyBorder="1" applyAlignment="1">
      <x:alignment vertical="center" wrapText="1"/>
    </x:xf>
    <x:xf numFmtId="0" fontId="8" fillId="0" borderId="12" xfId="0" applyFont="1" applyBorder="1" applyAlignment="1">
      <x:alignment vertical="center" wrapText="1"/>
    </x:xf>
    <x:xf numFmtId="0" fontId="6" fillId="0" borderId="7" xfId="0" applyFont="1" applyBorder="1" applyAlignment="1">
      <x:alignment vertical="center" wrapText="1"/>
    </x:xf>
    <x:xf numFmtId="0" fontId="10" fillId="0" borderId="0" xfId="0" applyFont="1" applyAlignment="1">
      <x:alignment vertical="center" wrapText="1"/>
    </x:xf>
    <x:xf numFmtId="0" fontId="10" fillId="0" borderId="13" xfId="0" applyFont="1" applyBorder="1" applyAlignment="1">
      <x:alignment vertical="center" wrapText="1"/>
    </x:xf>
    <x:xf numFmtId="0" fontId="6" fillId="0" borderId="13" xfId="0" applyFont="1" applyBorder="1" applyAlignment="1">
      <x:alignment vertical="center" wrapText="1"/>
    </x:xf>
    <x:xf numFmtId="0" fontId="6" fillId="0" borderId="14" xfId="0" applyFont="1" applyBorder="1" applyAlignment="1">
      <x:alignment vertical="center" wrapText="1"/>
    </x:xf>
    <x:xf numFmtId="0" fontId="6" fillId="0" borderId="15" xfId="0" applyFont="1" applyBorder="1" applyAlignment="1">
      <x:alignment vertical="center" wrapText="1"/>
    </x:xf>
    <x:xf numFmtId="0" fontId="6" fillId="0" borderId="16" xfId="0" applyFont="1" applyBorder="1" applyAlignment="1">
      <x:alignment vertical="center" wrapText="1"/>
    </x:xf>
    <x:xf numFmtId="0" fontId="6" fillId="0" borderId="17" xfId="0" applyFont="1" applyBorder="1" applyAlignment="1">
      <x:alignment vertical="center" wrapText="1"/>
    </x:xf>
    <x:xf numFmtId="0" fontId="10" fillId="0" borderId="15" xfId="0" applyFont="1" applyBorder="1" applyAlignment="1">
      <x:alignment vertical="center" wrapText="1"/>
    </x:xf>
    <x:xf numFmtId="0" fontId="10" fillId="0" borderId="16" xfId="0" applyFont="1" applyBorder="1" applyAlignment="1">
      <x:alignment vertical="center" wrapText="1"/>
    </x:xf>
    <x:xf numFmtId="0" fontId="10" fillId="0" borderId="17" xfId="0" applyFont="1" applyBorder="1" applyAlignment="1">
      <x:alignment vertical="center" wrapText="1"/>
    </x:xf>
    <x:xf numFmtId="0" fontId="6" fillId="0" borderId="18" xfId="0" applyFont="1" applyBorder="1" applyAlignment="1">
      <x:alignment vertical="center" wrapText="1"/>
    </x:xf>
    <x:xf numFmtId="167" fontId="6" fillId="0" borderId="0" xfId="0" applyNumberFormat="1" applyFont="1"/>
    <x:xf numFmtId="0" fontId="6" fillId="0" borderId="8" xfId="0" applyFont="1" applyBorder="1" applyAlignment="1">
      <x:alignment vertical="center" wrapText="1"/>
    </x:xf>
    <x:xf numFmtId="0" fontId="2" fillId="0" borderId="1" xfId="0" applyFont="1" applyBorder="1" applyAlignment="1">
      <x:alignment vertical="top"/>
    </x:xf>
    <x:xf numFmtId="168" fontId="2" fillId="0" borderId="6" xfId="0" applyNumberFormat="1" applyFont="1" applyBorder="1" applyAlignment="1">
      <x:alignment vertical="center"/>
    </x:xf>
    <x:xf numFmtId="0" fontId="3" fillId="0" borderId="1" xfId="0" applyFont="1" applyBorder="1" applyAlignment="1">
      <x:alignment vertical="top"/>
    </x:xf>
    <x:xf numFmtId="0" fontId="3" fillId="0" borderId="1" xfId="0" applyFont="1" applyBorder="1" applyAlignment="1">
      <x:alignment vertical="top" wrapText="1"/>
    </x:xf>
    <x:xf numFmtId="0" fontId="9" fillId="4" borderId="8" xfId="0" applyFont="1" applyFill="1" applyBorder="1" applyAlignment="1">
      <x:alignment vertical="center" wrapText="1"/>
    </x:xf>
    <x:xf numFmtId="0" fontId="9" fillId="4" borderId="9" xfId="0" applyFont="1" applyFill="1" applyBorder="1" applyAlignment="1">
      <x:alignment vertical="center" wrapText="1"/>
    </x:xf>
    <x:xf numFmtId="0" fontId="9" fillId="4" borderId="10" xfId="0" applyFont="1" applyFill="1" applyBorder="1" applyAlignment="1">
      <x:alignment vertical="center" wrapText="1"/>
    </x:xf>
    <x:xf numFmtId="0" fontId="10" fillId="4" borderId="0" xfId="0" applyFont="1" applyFill="1" applyAlignment="1">
      <x:alignment vertical="center" wrapText="1"/>
    </x:xf>
    <x:xf numFmtId="0" fontId="6" fillId="4" borderId="13" xfId="0" applyFont="1" applyFill="1" applyBorder="1" applyAlignment="1">
      <x:alignment vertical="center" wrapText="1"/>
    </x:xf>
    <x:xf numFmtId="0" fontId="6" fillId="4" borderId="0" xfId="0" applyFont="1" applyFill="1" applyAlignment="1">
      <x:alignment vertical="center" wrapText="1"/>
    </x:xf>
    <x:xf numFmtId="0" fontId="6" fillId="4" borderId="7" xfId="0" applyFont="1" applyFill="1" applyBorder="1" applyAlignment="1">
      <x:alignment vertical="center" wrapText="1"/>
    </x:xf>
    <x:xf numFmtId="0" fontId="6" fillId="4" borderId="14" xfId="0" applyFont="1" applyFill="1" applyBorder="1" applyAlignment="1">
      <x:alignment vertical="center" wrapText="1"/>
    </x:xf>
    <x:xf numFmtId="0" fontId="10" fillId="4" borderId="13" xfId="0" applyFont="1" applyFill="1" applyBorder="1" applyAlignment="1">
      <x:alignment vertical="center" wrapText="1"/>
    </x:xf>
    <x:xf numFmtId="0" fontId="6" fillId="4" borderId="17" xfId="0" applyFont="1" applyFill="1" applyBorder="1" applyAlignment="1">
      <x:alignment vertical="center" wrapText="1"/>
    </x:xf>
    <x:xf numFmtId="0" fontId="6" fillId="4" borderId="16" xfId="0" applyFont="1" applyFill="1" applyBorder="1" applyAlignment="1">
      <x:alignment vertical="center" wrapText="1"/>
    </x:xf>
    <x:xf numFmtId="0" fontId="12" fillId="0" borderId="0" xfId="0" applyFont="1"/>
    <x:xf numFmtId="0" fontId="14" fillId="0" borderId="0" xfId="0" applyFont="1"/>
    <x:xf numFmtId="0" fontId="14" fillId="0" borderId="0" xfId="0" applyFont="1" applyAlignment="1">
      <x:alignment wrapText="1"/>
    </x:xf>
    <x:xf numFmtId="0" fontId="13" fillId="0" borderId="0" xfId="0" applyFont="1" applyAlignment="1">
      <x:alignment horizontal="left"/>
    </x:xf>
    <x:xf numFmtId="0" fontId="12" fillId="0" borderId="0" xfId="0" applyFont="1" applyAlignment="1">
      <x:alignment horizontal="left"/>
    </x:xf>
    <x:xf numFmtId="0" fontId="14" fillId="0" borderId="0" xfId="0" applyFont="1"/>
    <x:xf numFmtId="0" fontId="11" fillId="0" borderId="0" xfId="0" applyFont="1"/>
    <x:xf numFmtId="0" fontId="14" fillId="0" borderId="0" xfId="0" applyFont="1" applyAlignment="1">
      <x:alignment wrapText="1"/>
    </x:xf>
    <x:xf numFmtId="0" fontId="12" fillId="0" borderId="0" xfId="0" applyFont="1"/>
    <x:xf numFmtId="0" fontId="4" fillId="0" borderId="7" xfId="0" applyFont="1" applyBorder="1" applyAlignment="1">
      <x:alignment horizontal="center" vertical="center"/>
    </x:xf>
    <x:xf numFmtId="0" fontId="0" fillId="0" borderId="0" xfId="0"/>
    <x:xf numFmtId="0" fontId="7" fillId="2" borderId="1" xfId="0" applyFont="1" applyFill="1" applyBorder="1" applyAlignment="1">
      <x:alignment horizontal="center" vertical="center" wrapText="1"/>
    </x:xf>
    <x:xf numFmtId="0" fontId="0" fillId="3" borderId="19" xfId="0" applyFill="1" applyBorder="1"/>
    <x:xf numFmtId="0" fontId="0" fillId="3" borderId="20" xfId="0" applyFill="1" applyBorder="1"/>
    <x:xf numFmtId="0" fontId="7" fillId="2" borderId="5" xfId="0" applyFont="1" applyFill="1" applyBorder="1" applyAlignment="1">
      <x:alignment horizontal="center" vertical="center" wrapText="1"/>
    </x:xf>
    <x:xf numFmtId="0" fontId="7" fillId="2" borderId="19" xfId="0" applyFont="1" applyFill="1" applyBorder="1" applyAlignment="1">
      <x:alignment horizontal="center" vertical="center" wrapText="1"/>
    </x:xf>
    <x:xf numFmtId="0" fontId="7" fillId="2" borderId="20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/>
    </x:xf>
    <x:xf numFmtId="0" fontId="0" fillId="0" borderId="19" xfId="0" applyBorder="1"/>
    <x:xf numFmtId="0" fontId="0" fillId="0" borderId="20" xfId="0" applyBorder="1"/>
    <x:xf numFmtId="0" fontId="9" fillId="0" borderId="8" xfId="0" applyFont="1" applyFill="1" applyBorder="1" applyAlignment="1">
      <x:alignment vertical="center" wrapText="1"/>
    </x:xf>
    <x:xf numFmtId="0" fontId="9" fillId="0" borderId="9" xfId="0" applyFont="1" applyFill="1" applyBorder="1" applyAlignment="1">
      <x:alignment vertical="center" wrapText="1"/>
    </x:xf>
    <x:xf numFmtId="0" fontId="9" fillId="0" borderId="10" xfId="0" applyFont="1" applyFill="1" applyBorder="1" applyAlignment="1">
      <x:alignment vertical="center" wrapText="1"/>
    </x:xf>
    <x:xf numFmtId="0" fontId="6" fillId="0" borderId="9" xfId="0" applyFont="1" applyFill="1" applyBorder="1" applyAlignment="1">
      <x:alignment vertical="center" wrapText="1"/>
    </x:xf>
    <x:xf numFmtId="0" fontId="6" fillId="0" borderId="10" xfId="0" applyFont="1" applyFill="1" applyBorder="1" applyAlignment="1">
      <x:alignment vertical="center" wrapText="1"/>
    </x:xf>
    <x:xf numFmtId="0" fontId="6" fillId="0" borderId="8" xfId="0" applyFont="1" applyFill="1" applyBorder="1" applyAlignment="1">
      <x:alignment vertical="center" wrapText="1"/>
    </x:xf>
    <x:xf numFmtId="0" fontId="6" fillId="0" borderId="11" xfId="0" applyFont="1" applyFill="1" applyBorder="1" applyAlignment="1">
      <x:alignment vertical="center" wrapText="1"/>
    </x:xf>
    <x:xf numFmtId="0" fontId="6" fillId="0" borderId="7" xfId="0" applyFont="1" applyFill="1" applyBorder="1" applyAlignment="1">
      <x:alignment vertical="center" wrapText="1"/>
    </x:xf>
    <x:xf numFmtId="0" fontId="10" fillId="0" borderId="0" xfId="0" applyFont="1" applyFill="1" applyAlignment="1">
      <x:alignment vertical="center" wrapText="1"/>
    </x:xf>
    <x:xf numFmtId="0" fontId="10" fillId="0" borderId="13" xfId="0" applyFont="1" applyFill="1" applyBorder="1" applyAlignment="1">
      <x:alignment vertical="center" wrapText="1"/>
    </x:xf>
    <x:xf numFmtId="0" fontId="6" fillId="0" borderId="13" xfId="0" applyFont="1" applyFill="1" applyBorder="1" applyAlignment="1">
      <x:alignment vertical="center" wrapText="1"/>
    </x:xf>
    <x:xf numFmtId="0" fontId="6" fillId="0" borderId="0" xfId="0" applyFont="1" applyFill="1" applyAlignment="1">
      <x:alignment vertical="center" wrapText="1"/>
    </x:xf>
    <x:xf numFmtId="0" fontId="6" fillId="0" borderId="14" xfId="0" applyFont="1" applyFill="1" applyBorder="1" applyAlignment="1">
      <x:alignment vertical="center" wrapText="1"/>
    </x:xf>
    <x:xf numFmtId="0" fontId="6" fillId="0" borderId="15" xfId="0" applyFont="1" applyFill="1" applyBorder="1" applyAlignment="1">
      <x:alignment vertical="center" wrapText="1"/>
    </x:xf>
    <x:xf numFmtId="0" fontId="6" fillId="0" borderId="16" xfId="0" applyFont="1" applyFill="1" applyBorder="1" applyAlignment="1">
      <x:alignment vertical="center" wrapText="1"/>
    </x:xf>
    <x:xf numFmtId="0" fontId="6" fillId="0" borderId="17" xfId="0" applyFont="1" applyFill="1" applyBorder="1" applyAlignment="1">
      <x:alignment vertical="center" wrapText="1"/>
    </x:xf>
    <x:xf numFmtId="0" fontId="6" fillId="0" borderId="18" xfId="0" applyFont="1" applyFill="1" applyBorder="1" applyAlignment="1">
      <x:alignment vertical="center" wrapText="1"/>
    </x:xf>
    <x:xf numFmtId="0" fontId="0" fillId="0" borderId="21" xfId="0" applyNumberFormat="1" applyFont="1" applyFill="1" applyBorder="1"/>
    <x:xf numFmtId="0" fontId="2" fillId="0" borderId="21" xfId="0" applyNumberFormat="1" applyFont="1" applyFill="1" applyBorder="1"/>
    <x:xf numFmtId="164" fontId="2" fillId="0" borderId="21" xfId="0" applyNumberFormat="1" applyFont="1" applyFill="1" applyBorder="1"/>
    <x:xf numFmtId="165" fontId="2" fillId="0" borderId="21" xfId="0" applyNumberFormat="1" applyFont="1" applyFill="1" applyBorder="1"/>
    <x:xf numFmtId="166" fontId="2" fillId="0" borderId="21" xfId="0" applyNumberFormat="1" applyFont="1" applyFill="1" applyBorder="1"/>
    <x:xf numFmtId="167" fontId="2" fillId="0" borderId="21" xfId="0" applyNumberFormat="1" applyFont="1" applyFill="1" applyBorder="1" applyAlignment="1">
      <x:alignment horizontal="center"/>
    </x:xf>
    <x:xf numFmtId="166" fontId="2" fillId="0" borderId="22" xfId="0" applyNumberFormat="1" applyFont="1" applyFill="1" applyBorder="1" applyAlignment="1">
      <x:alignment horizontal="center"/>
    </x:xf>
    <x:xf numFmtId="167" fontId="2" fillId="0" borderId="23" xfId="0" applyNumberFormat="1" applyFont="1" applyFill="1" applyBorder="1" applyAlignment="1">
      <x:alignment horizontal="center" wrapText="1"/>
    </x:xf>
    <x:xf numFmtId="166" fontId="2" fillId="0" borderId="24" xfId="0" applyNumberFormat="1" applyFont="1" applyFill="1" applyBorder="1" applyAlignment="1">
      <x:alignment horizontal="center"/>
    </x:xf>
    <x:xf numFmtId="167" fontId="2" fillId="0" borderId="24" xfId="0" applyNumberFormat="1" applyFont="1" applyFill="1" applyBorder="1" applyAlignment="1">
      <x:alignment horizontal="center"/>
    </x:xf>
    <x:xf numFmtId="0" fontId="3" fillId="0" borderId="25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center"/>
    </x:xf>
    <x:xf numFmtId="164" fontId="2" fillId="0" borderId="26" xfId="0" applyNumberFormat="1" applyFont="1" applyFill="1" applyBorder="1" applyAlignment="1">
      <x:alignment vertical="center"/>
    </x:xf>
    <x:xf numFmtId="165" fontId="2" fillId="0" borderId="26" xfId="0" applyNumberFormat="1" applyFont="1" applyFill="1" applyBorder="1" applyAlignment="1">
      <x:alignment vertical="center"/>
    </x:xf>
    <x:xf numFmtId="166" fontId="2" fillId="0" borderId="26" xfId="0" applyNumberFormat="1" applyFont="1" applyFill="1" applyBorder="1" applyAlignment="1">
      <x:alignment horizontal="center" vertical="center"/>
    </x:xf>
    <x:xf numFmtId="167" fontId="2" fillId="0" borderId="23" xfId="0" applyNumberFormat="1" applyFont="1" applyFill="1" applyBorder="1" applyAlignment="1">
      <x:alignment horizontal="center" vertical="center"/>
    </x:xf>
    <x:xf numFmtId="0" fontId="2" fillId="0" borderId="21" xfId="0" applyNumberFormat="1" applyFont="1" applyFill="1" applyBorder="1" applyAlignment="1">
      <x:alignment vertical="top"/>
    </x:xf>
    <x:xf numFmtId="0" fontId="2" fillId="0" borderId="22" xfId="0" applyNumberFormat="1" applyFont="1" applyFill="1" applyBorder="1" applyAlignment="1">
      <x:alignment vertical="center" wrapText="1"/>
    </x:xf>
    <x:xf numFmtId="165" fontId="3" fillId="0" borderId="21" xfId="0" applyNumberFormat="1" applyFont="1" applyFill="1" applyBorder="1"/>
    <x:xf numFmtId="167" fontId="3" fillId="0" borderId="21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167" fontId="0" fillId="0" borderId="23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9" fillId="0" borderId="30" xfId="0" applyNumberFormat="1" applyFont="1" applyFill="1" applyBorder="1" applyAlignment="1">
      <x:alignment vertical="center" wrapText="1"/>
    </x:xf>
    <x:xf numFmtId="0" fontId="9" fillId="0" borderId="27" xfId="0" applyNumberFormat="1" applyFont="1" applyFill="1" applyBorder="1" applyAlignment="1">
      <x:alignment vertical="center" wrapText="1"/>
    </x:xf>
    <x:xf numFmtId="0" fontId="9" fillId="0" borderId="28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10" fillId="0" borderId="33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10" fillId="0" borderId="35" xfId="0" applyNumberFormat="1" applyFont="1" applyFill="1" applyBorder="1" applyAlignment="1">
      <x:alignment vertical="center" wrapText="1"/>
    </x:xf>
    <x:xf numFmtId="0" fontId="10" fillId="0" borderId="36" xfId="0" applyNumberFormat="1" applyFont="1" applyFill="1" applyBorder="1" applyAlignment="1">
      <x:alignment vertical="center" wrapText="1"/>
    </x:xf>
    <x:xf numFmtId="0" fontId="1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167" fontId="0" fillId="0" borderId="21" xfId="0" applyNumberFormat="1" applyFont="1" applyFill="1" applyBorder="1"/>
    <x:xf numFmtId="0" fontId="0" fillId="0" borderId="30" xfId="0" applyNumberFormat="1" applyFont="1" applyFill="1" applyBorder="1" applyAlignment="1">
      <x:alignment vertical="center" wrapText="1"/>
    </x:xf>
    <x:xf numFmtId="0" fontId="2" fillId="0" borderId="39" xfId="0" applyNumberFormat="1" applyFont="1" applyFill="1" applyBorder="1" applyAlignment="1">
      <x:alignment vertical="top"/>
    </x:xf>
    <x:xf numFmtId="168" fontId="2" fillId="0" borderId="26" xfId="0" applyNumberFormat="1" applyFont="1" applyFill="1" applyBorder="1" applyAlignment="1">
      <x:alignment vertical="center"/>
    </x:xf>
    <x:xf numFmtId="0" fontId="3" fillId="0" borderId="39" xfId="0" applyNumberFormat="1" applyFont="1" applyFill="1" applyBorder="1" applyAlignment="1">
      <x:alignment vertical="top"/>
    </x:xf>
    <x:xf numFmtId="0" fontId="3" fillId="0" borderId="39" xfId="0" applyNumberFormat="1" applyFont="1" applyFill="1" applyBorder="1" applyAlignment="1">
      <x:alignment vertical="top" wrapText="1"/>
    </x:xf>
    <x:xf numFmtId="0" fontId="9" fillId="4" borderId="30" xfId="0" applyNumberFormat="1" applyFont="1" applyFill="1" applyBorder="1" applyAlignment="1">
      <x:alignment vertical="center" wrapText="1"/>
    </x:xf>
    <x:xf numFmtId="0" fontId="9" fillId="4" borderId="27" xfId="0" applyNumberFormat="1" applyFont="1" applyFill="1" applyBorder="1" applyAlignment="1">
      <x:alignment vertical="center" wrapText="1"/>
    </x:xf>
    <x:xf numFmtId="0" fontId="9" fillId="4" borderId="28" xfId="0" applyNumberFormat="1" applyFont="1" applyFill="1" applyBorder="1" applyAlignment="1">
      <x:alignment vertical="center" wrapText="1"/>
    </x:xf>
    <x:xf numFmtId="0" fontId="10" fillId="4" borderId="21" xfId="0" applyNumberFormat="1" applyFont="1" applyFill="1" applyBorder="1" applyAlignment="1">
      <x:alignment vertical="center" wrapText="1"/>
    </x:xf>
    <x:xf numFmtId="0" fontId="0" fillId="4" borderId="33" xfId="0" applyNumberFormat="1" applyFont="1" applyFill="1" applyBorder="1" applyAlignment="1">
      <x:alignment vertical="center" wrapText="1"/>
    </x:xf>
    <x:xf numFmtId="0" fontId="0" fillId="4" borderId="21" xfId="0" applyNumberFormat="1" applyFont="1" applyFill="1" applyBorder="1" applyAlignment="1">
      <x:alignment vertical="center" wrapText="1"/>
    </x:xf>
    <x:xf numFmtId="0" fontId="0" fillId="4" borderId="32" xfId="0" applyNumberFormat="1" applyFont="1" applyFill="1" applyBorder="1" applyAlignment="1">
      <x:alignment vertical="center" wrapText="1"/>
    </x:xf>
    <x:xf numFmtId="0" fontId="0" fillId="4" borderId="34" xfId="0" applyNumberFormat="1" applyFont="1" applyFill="1" applyBorder="1" applyAlignment="1">
      <x:alignment vertical="center" wrapText="1"/>
    </x:xf>
    <x:xf numFmtId="0" fontId="10" fillId="4" borderId="33" xfId="0" applyNumberFormat="1" applyFont="1" applyFill="1" applyBorder="1" applyAlignment="1">
      <x:alignment vertical="center" wrapText="1"/>
    </x:xf>
    <x:xf numFmtId="0" fontId="0" fillId="4" borderId="37" xfId="0" applyNumberFormat="1" applyFont="1" applyFill="1" applyBorder="1" applyAlignment="1">
      <x:alignment vertical="center" wrapText="1"/>
    </x:xf>
    <x:xf numFmtId="0" fontId="0" fillId="4" borderId="36" xfId="0" applyNumberFormat="1" applyFont="1" applyFill="1" applyBorder="1" applyAlignment="1">
      <x:alignment vertical="center" wrapText="1"/>
    </x:xf>
    <x:xf numFmtId="0" fontId="12" fillId="0" borderId="21" xfId="0" applyNumberFormat="1" applyFont="1" applyFill="1" applyBorder="1"/>
    <x:xf numFmtId="0" fontId="14" fillId="0" borderId="21" xfId="0" applyNumberFormat="1" applyFont="1" applyFill="1" applyBorder="1"/>
    <x:xf numFmtId="0" fontId="14" fillId="0" borderId="21" xfId="0" applyNumberFormat="1" applyFont="1" applyFill="1" applyBorder="1" applyAlignment="1">
      <x:alignment wrapText="1"/>
    </x:xf>
    <x:xf numFmtId="0" fontId="11" fillId="0" borderId="21" xfId="0" applyNumberFormat="1" applyFont="1" applyFill="1" applyBorder="1" applyAlignment="1">
      <x:alignment horizontal="left"/>
    </x:xf>
    <x:xf numFmtId="0" fontId="12" fillId="0" borderId="21" xfId="0" applyNumberFormat="1" applyFont="1" applyFill="1" applyBorder="1" applyAlignment="1">
      <x:alignment horizontal="left"/>
    </x:xf>
    <x:xf numFmtId="0" fontId="11" fillId="0" borderId="21" xfId="0" applyNumberFormat="1" applyFont="1" applyFill="1" applyBorder="1"/>
    <x:xf numFmtId="0" fontId="4" fillId="0" borderId="32" xfId="0" applyNumberFormat="1" applyFont="1" applyFill="1" applyBorder="1" applyAlignment="1">
      <x:alignment horizontal="center" vertical="center"/>
    </x:xf>
    <x:xf numFmtId="0" fontId="7" fillId="2" borderId="39" xfId="0" applyNumberFormat="1" applyFont="1" applyFill="1" applyBorder="1" applyAlignment="1">
      <x:alignment horizontal="center" vertical="center" wrapText="1"/>
    </x:xf>
    <x:xf numFmtId="0" fontId="0" fillId="2" borderId="40" xfId="0" applyNumberFormat="1" applyFont="1" applyFill="1" applyBorder="1"/>
    <x:xf numFmtId="0" fontId="0" fillId="2" borderId="41" xfId="0" applyNumberFormat="1" applyFont="1" applyFill="1" applyBorder="1"/>
    <x:xf numFmtId="0" fontId="7" fillId="2" borderId="25" xfId="0" applyNumberFormat="1" applyFont="1" applyFill="1" applyBorder="1" applyAlignment="1">
      <x:alignment horizontal="center" vertical="center" wrapText="1"/>
    </x:xf>
    <x:xf numFmtId="0" fontId="7" fillId="2" borderId="40" xfId="0" applyNumberFormat="1" applyFont="1" applyFill="1" applyBorder="1" applyAlignment="1">
      <x:alignment horizontal="center" vertical="center" wrapText="1"/>
    </x:xf>
    <x:xf numFmtId="0" fontId="7" fillId="2" borderId="41" xfId="0" applyNumberFormat="1" applyFont="1" applyFill="1" applyBorder="1" applyAlignment="1">
      <x:alignment horizontal="center" vertical="center" wrapText="1"/>
    </x:xf>
    <x:xf numFmtId="0" fontId="3" fillId="0" borderId="39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15" fillId="0" borderId="21" xfId="0" applyNumberFormat="1" applyFont="1" applyFill="1" applyBorder="1"/>
    <x:xf numFmtId="0" fontId="15" fillId="0" borderId="21" xfId="0" applyNumberFormat="1" applyFont="1" applyFill="1" applyBorder="1" applyAlignment="1">
      <x:alignment horizontal="center"/>
    </x:xf>
    <x:xf numFmtId="0" fontId="15" fillId="0" borderId="2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42" xfId="0" applyNumberFormat="1" applyFont="1" applyFill="1" applyBorder="1"/>
    <x:xf numFmtId="0" fontId="16" fillId="5" borderId="43" xfId="0" applyNumberFormat="1" applyFont="1" applyFill="1" applyBorder="1"/>
    <x:xf numFmtId="0" fontId="16" fillId="5" borderId="44" xfId="0" applyNumberFormat="1" applyFont="1" applyFill="1" applyBorder="1"/>
    <x:xf numFmtId="0" fontId="16" fillId="5" borderId="42" xfId="0" applyNumberFormat="1" applyFont="1" applyFill="1" applyBorder="1" applyAlignment="1">
      <x:alignment vertical="center"/>
    </x:xf>
    <x:xf numFmtId="0" fontId="16" fillId="5" borderId="43" xfId="0" applyNumberFormat="1" applyFont="1" applyFill="1" applyBorder="1" applyAlignment="1">
      <x:alignment vertical="center"/>
    </x:xf>
    <x:xf numFmtId="0" fontId="16" fillId="5" borderId="44" xfId="0" applyNumberFormat="1" applyFont="1" applyFill="1" applyBorder="1" applyAlignment="1">
      <x:alignment vertical="center"/>
    </x:xf>
    <x:xf numFmtId="0" fontId="0" fillId="5" borderId="21" xfId="0" applyNumberFormat="1" applyFont="1" applyFill="1" applyBorder="1"/>
    <x:xf numFmtId="0" fontId="16" fillId="5" borderId="21" xfId="0" applyNumberFormat="1" applyFont="1" applyFill="1" applyBorder="1"/>
    <x:xf numFmtId="0" fontId="16" fillId="5" borderId="45" xfId="0" applyNumberFormat="1" applyFont="1" applyFill="1" applyBorder="1"/>
    <x:xf numFmtId="0" fontId="16" fillId="5" borderId="46" xfId="0" applyNumberFormat="1" applyFont="1" applyFill="1" applyBorder="1"/>
    <x:xf numFmtId="0" fontId="16" fillId="5" borderId="47" xfId="0" applyNumberFormat="1" applyFont="1" applyFill="1" applyBorder="1"/>
    <x:xf numFmtId="0" fontId="16" fillId="5" borderId="45" xfId="0" applyNumberFormat="1" applyFont="1" applyFill="1" applyBorder="1" applyAlignment="1">
      <x:alignment vertical="center"/>
    </x:xf>
    <x:xf numFmtId="0" fontId="16" fillId="5" borderId="46" xfId="0" applyNumberFormat="1" applyFont="1" applyFill="1" applyBorder="1" applyAlignment="1">
      <x:alignment vertical="center"/>
    </x:xf>
    <x:xf numFmtId="0" fontId="16" fillId="5" borderId="47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/>
    <x:xf numFmtId="0" fontId="17" fillId="5" borderId="42" xfId="0" applyNumberFormat="1" applyFont="1" applyFill="1" applyBorder="1"/>
    <x:xf numFmtId="0" fontId="17" fillId="5" borderId="43" xfId="0" applyNumberFormat="1" applyFont="1" applyFill="1" applyBorder="1"/>
    <x:xf numFmtId="0" fontId="17" fillId="5" borderId="44" xfId="0" applyNumberFormat="1" applyFont="1" applyFill="1" applyBorder="1"/>
    <x:xf numFmtId="0" fontId="17" fillId="5" borderId="42" xfId="0" applyNumberFormat="1" applyFont="1" applyFill="1" applyBorder="1" applyAlignment="1">
      <x:alignment horizontal="center"/>
    </x:xf>
    <x:xf numFmtId="0" fontId="17" fillId="5" borderId="43" xfId="0" applyNumberFormat="1" applyFont="1" applyFill="1" applyBorder="1" applyAlignment="1">
      <x:alignment horizontal="center"/>
    </x:xf>
    <x:xf numFmtId="0" fontId="17" fillId="5" borderId="44" xfId="0" applyNumberFormat="1" applyFont="1" applyFill="1" applyBorder="1" applyAlignment="1">
      <x:alignment horizontal="center"/>
    </x:xf>
    <x:xf numFmtId="0" fontId="17" fillId="5" borderId="42" xfId="0" applyNumberFormat="1" applyFont="1" applyFill="1" applyBorder="1" applyAlignment="1">
      <x:alignment horizontal="center" vertical="center"/>
    </x:xf>
    <x:xf numFmtId="0" fontId="17" fillId="5" borderId="43" xfId="0" applyNumberFormat="1" applyFont="1" applyFill="1" applyBorder="1" applyAlignment="1">
      <x:alignment horizontal="center" vertical="center"/>
    </x:xf>
    <x:xf numFmtId="0" fontId="17" fillId="5" borderId="44" xfId="0" applyNumberFormat="1" applyFont="1" applyFill="1" applyBorder="1" applyAlignment="1">
      <x:alignment horizontal="center" vertical="center"/>
    </x:xf>
    <x:xf numFmtId="0" fontId="17" fillId="5" borderId="21" xfId="0" applyNumberFormat="1" applyFont="1" applyFill="1" applyBorder="1"/>
    <x:xf numFmtId="0" fontId="17" fillId="5" borderId="45" xfId="0" applyNumberFormat="1" applyFont="1" applyFill="1" applyBorder="1"/>
    <x:xf numFmtId="0" fontId="17" fillId="5" borderId="46" xfId="0" applyNumberFormat="1" applyFont="1" applyFill="1" applyBorder="1"/>
    <x:xf numFmtId="0" fontId="17" fillId="5" borderId="47" xfId="0" applyNumberFormat="1" applyFont="1" applyFill="1" applyBorder="1"/>
    <x:xf numFmtId="0" fontId="17" fillId="5" borderId="45" xfId="0" applyNumberFormat="1" applyFont="1" applyFill="1" applyBorder="1" applyAlignment="1">
      <x:alignment horizontal="center"/>
    </x:xf>
    <x:xf numFmtId="0" fontId="17" fillId="5" borderId="46" xfId="0" applyNumberFormat="1" applyFont="1" applyFill="1" applyBorder="1" applyAlignment="1">
      <x:alignment horizontal="center"/>
    </x:xf>
    <x:xf numFmtId="0" fontId="17" fillId="5" borderId="47" xfId="0" applyNumberFormat="1" applyFont="1" applyFill="1" applyBorder="1" applyAlignment="1">
      <x:alignment horizontal="center"/>
    </x:xf>
    <x:xf numFmtId="0" fontId="17" fillId="5" borderId="45" xfId="0" applyNumberFormat="1" applyFont="1" applyFill="1" applyBorder="1" applyAlignment="1">
      <x:alignment horizontal="center" vertical="center"/>
    </x:xf>
    <x:xf numFmtId="0" fontId="17" fillId="5" borderId="46" xfId="0" applyNumberFormat="1" applyFont="1" applyFill="1" applyBorder="1" applyAlignment="1">
      <x:alignment horizontal="center" vertical="center"/>
    </x:xf>
    <x:xf numFmtId="0" fontId="17" fillId="5" borderId="47" xfId="0" applyNumberFormat="1" applyFont="1" applyFill="1" applyBorder="1" applyAlignment="1">
      <x:alignment horizontal="center" vertical="center"/>
    </x:xf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0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0" fontId="0" fillId="0" borderId="55" xfId="0" applyNumberFormat="1" applyFont="1" applyFill="1" applyBorder="1"/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54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vertical="center" wrapText="1"/>
    </x:xf>
    <x:xf numFmtId="0" fontId="0" fillId="0" borderId="49" xfId="0" applyNumberFormat="1" applyFont="1" applyFill="1" applyBorder="1" applyAlignment="1">
      <x:alignment vertical="center" wrapText="1"/>
    </x:xf>
    <x:xf numFmtId="0" fontId="0" fillId="0" borderId="50" xfId="0" applyNumberFormat="1" applyFont="1" applyFill="1" applyBorder="1" applyAlignment="1">
      <x:alignment vertical="center" wrapText="1"/>
    </x:xf>
    <x:xf numFmtId="0" fontId="0" fillId="0" borderId="5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2" xfId="0" applyNumberFormat="1" applyFont="1" applyFill="1" applyBorder="1" applyAlignment="1">
      <x:alignment vertical="center" wrapText="1"/>
    </x:xf>
    <x:xf numFmtId="0" fontId="0" fillId="0" borderId="53" xfId="0" applyNumberFormat="1" applyFont="1" applyFill="1" applyBorder="1" applyAlignment="1">
      <x:alignment vertical="center" wrapText="1"/>
    </x:xf>
    <x:xf numFmtId="0" fontId="0" fillId="0" borderId="54" xfId="0" applyNumberFormat="1" applyFont="1" applyFill="1" applyBorder="1" applyAlignment="1">
      <x:alignment vertical="center" wrapText="1"/>
    </x:xf>
    <x:xf numFmtId="0" fontId="0" fillId="0" borderId="55" xfId="0" applyNumberFormat="1" applyFont="1" applyFill="1" applyBorder="1" applyAlignment="1">
      <x:alignment vertical="center" wrapText="1"/>
    </x:xf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56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wrapText="1"/>
    </x:xf>
    <x:xf numFmtId="0" fontId="0" fillId="0" borderId="58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wrapText="1"/>
    </x:xf>
    <x:xf numFmtId="0" fontId="0" fillId="0" borderId="62" xfId="0" applyNumberFormat="1" applyFont="1" applyFill="1" applyBorder="1" applyAlignment="1">
      <x:alignment wrapText="1"/>
    </x:xf>
    <x:xf numFmtId="0" fontId="0" fillId="0" borderId="63" xfId="0" applyNumberFormat="1" applyFont="1" applyFill="1" applyBorder="1" applyAlignment="1">
      <x:alignment wrapText="1"/>
    </x:xf>
    <x:xf numFmtId="0" fontId="0" fillId="0" borderId="56" xfId="0" applyNumberFormat="1" applyFont="1" applyFill="1" applyBorder="1" applyAlignment="1">
      <x:alignment vertical="center" wrapText="1"/>
    </x:xf>
    <x:xf numFmtId="0" fontId="0" fillId="0" borderId="57" xfId="0" applyNumberFormat="1" applyFont="1" applyFill="1" applyBorder="1" applyAlignment="1">
      <x:alignment vertical="center" wrapText="1"/>
    </x:xf>
    <x:xf numFmtId="0" fontId="0" fillId="0" borderId="58" xfId="0" applyNumberFormat="1" applyFont="1" applyFill="1" applyBorder="1" applyAlignment="1">
      <x:alignment vertical="center" wrapText="1"/>
    </x:xf>
    <x:xf numFmtId="0" fontId="0" fillId="0" borderId="59" xfId="0" applyNumberFormat="1" applyFont="1" applyFill="1" applyBorder="1" applyAlignment="1">
      <x:alignment vertical="center" wrapText="1"/>
    </x:xf>
    <x:xf numFmtId="0" fontId="0" fillId="0" borderId="60" xfId="0" applyNumberFormat="1" applyFont="1" applyFill="1" applyBorder="1" applyAlignment="1">
      <x:alignment vertical="center" wrapText="1"/>
    </x:xf>
    <x:xf numFmtId="0" fontId="0" fillId="0" borderId="61" xfId="0" applyNumberFormat="1" applyFont="1" applyFill="1" applyBorder="1" applyAlignment="1">
      <x:alignment vertical="center" wrapText="1"/>
    </x:xf>
    <x:xf numFmtId="0" fontId="0" fillId="0" borderId="62" xfId="0" applyNumberFormat="1" applyFont="1" applyFill="1" applyBorder="1" applyAlignment="1">
      <x:alignment vertical="center" wrapText="1"/>
    </x:xf>
    <x:xf numFmtId="0" fontId="0" fillId="0" borderId="63" xfId="0" applyNumberFormat="1" applyFont="1" applyFill="1" applyBorder="1" applyAlignment="1">
      <x:alignment vertical="center" wrapText="1"/>
    </x:xf>
    <x:xf numFmtId="0" fontId="18" fillId="0" borderId="48" xfId="0" applyNumberFormat="1" applyFont="1" applyFill="1" applyBorder="1" applyAlignment="1">
      <x:alignment vertical="center" wrapText="1"/>
    </x:xf>
    <x:xf numFmtId="0" fontId="18" fillId="0" borderId="51" xfId="0" applyNumberFormat="1" applyFont="1" applyFill="1" applyBorder="1" applyAlignment="1">
      <x:alignment vertical="center" wrapText="1"/>
    </x:xf>
    <x:xf numFmtId="0" fontId="18" fillId="0" borderId="53" xfId="0" applyNumberFormat="1" applyFont="1" applyFill="1" applyBorder="1" applyAlignment="1">
      <x:alignment vertical="center" wrapText="1"/>
    </x:xf>
    <x:xf numFmtId="0" fontId="18" fillId="0" borderId="56" xfId="0" applyNumberFormat="1" applyFont="1" applyFill="1" applyBorder="1" applyAlignment="1">
      <x:alignment vertical="center" wrapText="1"/>
    </x:xf>
    <x:xf numFmtId="0" fontId="18" fillId="0" borderId="59" xfId="0" applyNumberFormat="1" applyFont="1" applyFill="1" applyBorder="1" applyAlignment="1">
      <x:alignment vertical="center" wrapText="1"/>
    </x:xf>
    <x:xf numFmtId="0" fontId="18" fillId="0" borderId="61" xfId="0" applyNumberFormat="1" applyFont="1" applyFill="1" applyBorder="1" applyAlignment="1">
      <x:alignment vertical="center" wrapText="1"/>
    </x:xf>
    <x:xf numFmtId="200" fontId="0" fillId="0" borderId="50" xfId="0" applyNumberFormat="1" applyFont="1" applyFill="1" applyBorder="1" applyAlignment="1">
      <x:alignment vertical="center" wrapText="1"/>
    </x:xf>
    <x:xf numFmtId="200" fontId="0" fillId="0" borderId="52" xfId="0" applyNumberFormat="1" applyFont="1" applyFill="1" applyBorder="1" applyAlignment="1">
      <x:alignment vertical="center" wrapText="1"/>
    </x:xf>
    <x:xf numFmtId="200" fontId="0" fillId="0" borderId="55" xfId="0" applyNumberFormat="1" applyFont="1" applyFill="1" applyBorder="1" applyAlignment="1">
      <x:alignment vertical="center" wrapText="1"/>
    </x:xf>
    <x:xf numFmtId="200" fontId="0" fillId="0" borderId="58" xfId="0" applyNumberFormat="1" applyFont="1" applyFill="1" applyBorder="1" applyAlignment="1">
      <x:alignment vertical="center" wrapText="1"/>
    </x:xf>
    <x:xf numFmtId="200" fontId="0" fillId="0" borderId="60" xfId="0" applyNumberFormat="1" applyFont="1" applyFill="1" applyBorder="1" applyAlignment="1">
      <x:alignment vertical="center" wrapText="1"/>
    </x:xf>
    <x:xf numFmtId="200" fontId="0" fillId="0" borderId="6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21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18" fillId="0" borderId="21" xfId="0" applyNumberFormat="1" applyFont="1" applyFill="1" applyBorder="1"/>
    <x:xf numFmtId="200" fontId="18" fillId="0" borderId="21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9" xfId="0" applyNumberFormat="1" applyFont="1" applyFill="1" applyBorder="1"/>
    <x:xf numFmtId="0" fontId="0" fillId="0" borderId="70" xfId="0" applyNumberFormat="1" applyFont="1" applyFill="1" applyBorder="1"/>
    <x:xf numFmtId="0" fontId="0" fillId="0" borderId="71" xfId="0" applyNumberFormat="1" applyFont="1" applyFill="1" applyBorder="1"/>
    <x:xf numFmtId="0" fontId="0" fillId="0" borderId="72" xfId="0" applyNumberFormat="1" applyFont="1" applyFill="1" applyBorder="1"/>
    <x:xf numFmtId="0" fontId="0" fillId="0" borderId="73" xfId="0" applyNumberFormat="1" applyFont="1" applyFill="1" applyBorder="1"/>
    <x:xf numFmtId="0" fontId="0" fillId="0" borderId="74" xfId="0" applyNumberFormat="1" applyFont="1" applyFill="1" applyBorder="1"/>
    <x:xf numFmtId="0" fontId="0" fillId="0" borderId="75" xfId="0" applyNumberFormat="1" applyFont="1" applyFill="1" applyBorder="1"/>
    <x:xf numFmtId="0" fontId="0" fillId="0" borderId="76" xfId="0" applyNumberFormat="1" applyFont="1" applyFill="1" applyBorder="1"/>
    <x:xf numFmtId="0" fontId="0" fillId="0" borderId="77" xfId="0" applyNumberFormat="1" applyFont="1" applyFill="1" applyBorder="1"/>
    <x:xf numFmtId="0" fontId="0" fillId="0" borderId="78" xfId="0" applyNumberFormat="1" applyFont="1" applyFill="1" applyBorder="1"/>
    <x:xf numFmtId="0" fontId="0" fillId="0" borderId="79" xfId="0" applyNumberFormat="1" applyFont="1" applyFill="1" applyBorder="1"/>
    <x:xf numFmtId="0" fontId="0" fillId="0" borderId="80" xfId="0" applyNumberFormat="1" applyFont="1" applyFill="1" applyBorder="1"/>
    <x:xf numFmtId="0" fontId="0" fillId="0" borderId="81" xfId="0" applyNumberFormat="1" applyFont="1" applyFill="1" applyBorder="1"/>
    <x:xf numFmtId="0" fontId="0" fillId="0" borderId="82" xfId="0" applyNumberFormat="1" applyFont="1" applyFill="1" applyBorder="1"/>
    <x:xf numFmtId="0" fontId="0" fillId="0" borderId="83" xfId="0" applyNumberFormat="1" applyFont="1" applyFill="1" applyBorder="1"/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19" fillId="0" borderId="21" xfId="0" applyNumberFormat="1" applyFont="1" applyFill="1" applyBorder="1"/>
    <x:xf numFmtId="0" fontId="19" fillId="0" borderId="2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164" fontId="2" fillId="0" borderId="0" xfId="0" applyNumberFormat="1" applyFont="1" applyFill="1" applyBorder="1"/>
    <x:xf numFmtId="165" fontId="2" fillId="0" borderId="0" xfId="0" applyNumberFormat="1" applyFont="1" applyFill="1" applyBorder="1"/>
    <x:xf numFmtId="166" fontId="2" fillId="0" borderId="0" xfId="0" applyNumberFormat="1" applyFont="1" applyFill="1" applyBorder="1"/>
    <x:xf numFmtId="167" fontId="2" fillId="0" borderId="0" xfId="0" applyNumberFormat="1" applyFont="1" applyFill="1" applyBorder="1" applyAlignment="1">
      <x:alignment horizontal="center"/>
    </x:xf>
    <x:xf numFmtId="166" fontId="2" fillId="0" borderId="2" xfId="0" applyNumberFormat="1" applyFont="1" applyFill="1" applyBorder="1" applyAlignment="1">
      <x:alignment horizontal="center"/>
    </x:xf>
    <x:xf numFmtId="167" fontId="2" fillId="0" borderId="3" xfId="0" applyNumberFormat="1" applyFont="1" applyFill="1" applyBorder="1" applyAlignment="1">
      <x:alignment horizontal="center" wrapText="1"/>
    </x:xf>
    <x:xf numFmtId="166" fontId="2" fillId="0" borderId="4" xfId="0" applyNumberFormat="1" applyFont="1" applyFill="1" applyBorder="1" applyAlignment="1">
      <x:alignment horizontal="center"/>
    </x:xf>
    <x:xf numFmtId="167" fontId="2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center"/>
    </x:xf>
    <x:xf numFmtId="164" fontId="2" fillId="0" borderId="6" xfId="0" applyNumberFormat="1" applyFont="1" applyFill="1" applyBorder="1" applyAlignment="1">
      <x:alignment vertical="center"/>
    </x:xf>
    <x:xf numFmtId="165" fontId="2" fillId="0" borderId="6" xfId="0" applyNumberFormat="1" applyFont="1" applyFill="1" applyBorder="1" applyAlignment="1">
      <x:alignment vertical="center"/>
    </x:xf>
    <x:xf numFmtId="166" fontId="2" fillId="0" borderId="6" xfId="0" applyNumberFormat="1" applyFont="1" applyFill="1" applyBorder="1" applyAlignment="1">
      <x:alignment horizontal="center" vertical="center"/>
    </x:xf>
    <x:xf numFmtId="167" fontId="2" fillId="0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center" wrapText="1"/>
    </x:xf>
    <x:xf numFmtId="165" fontId="3" fillId="0" borderId="0" xfId="0" applyNumberFormat="1" applyFont="1" applyFill="1" applyBorder="1"/>
    <x:xf numFmtId="167" fontId="3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167" fontId="0" fillId="0" borderId="3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167" fontId="0" fillId="0" borderId="0" xfId="0" applyNumberFormat="1" applyFont="1" applyFill="1" applyBorder="1"/>
    <x:xf numFmtId="0" fontId="0" fillId="0" borderId="8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168" fontId="2" fillId="0" borderId="6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9" xfId="0" applyNumberFormat="1" applyFont="1" applyFill="1" applyBorder="1" applyAlignment="1">
      <x:alignment vertical="center" wrapText="1"/>
    </x:xf>
    <x:xf numFmtId="0" fontId="9" fillId="4" borderId="1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10" fillId="4" borderId="13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0" fontId="0" fillId="4" borderId="16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2" borderId="19" xfId="0" applyNumberFormat="1" applyFont="1" applyFill="1" applyBorder="1"/>
    <x:xf numFmtId="0" fontId="0" fillId="2" borderId="20" xfId="0" applyNumberFormat="1" applyFont="1" applyFill="1" applyBorder="1"/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19" xfId="0" applyNumberFormat="1" applyFont="1" applyFill="1" applyBorder="1" applyAlignment="1">
      <x:alignment horizontal="center" vertical="center" wrapText="1"/>
    </x:xf>
    <x:xf numFmtId="0" fontId="7" fillId="2" borderId="2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16" fillId="5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84" xfId="0" applyNumberFormat="1" applyFont="1" applyFill="1" applyBorder="1"/>
    <x:xf numFmtId="0" fontId="19" fillId="0" borderId="84" xfId="0" applyNumberFormat="1" applyFont="1" applyFill="1" applyBorder="1" applyAlignment="1">
      <x:alignment wrapText="1"/>
    </x:xf>
    <x:xf numFmtId="0" fontId="17" fillId="5" borderId="85" xfId="0" applyNumberFormat="1" applyFont="1" applyFill="1" applyBorder="1" applyAlignment="1">
      <x:alignment horizontal="center" vertical="center"/>
    </x:xf>
    <x:xf numFmtId="0" fontId="17" fillId="5" borderId="86" xfId="0" applyNumberFormat="1" applyFont="1" applyFill="1" applyBorder="1" applyAlignment="1">
      <x:alignment horizontal="center" vertical="center"/>
    </x:xf>
    <x:xf numFmtId="0" fontId="17" fillId="5" borderId="87" xfId="0" applyNumberFormat="1" applyFont="1" applyFill="1" applyBorder="1" applyAlignment="1">
      <x:alignment horizontal="center" vertical="center"/>
    </x:xf>
    <x:xf numFmtId="0" fontId="0" fillId="0" borderId="88" xfId="0" applyNumberFormat="1" applyFont="1" applyFill="1" applyBorder="1"/>
    <x:xf numFmtId="0" fontId="0" fillId="0" borderId="89" xfId="0" applyNumberFormat="1" applyFont="1" applyFill="1" applyBorder="1"/>
    <x:xf numFmtId="0" fontId="0" fillId="0" borderId="90" xfId="0" applyNumberFormat="1" applyFont="1" applyFill="1" applyBorder="1"/>
    <x:xf numFmtId="0" fontId="0" fillId="0" borderId="91" xfId="0" applyNumberFormat="1" applyFont="1" applyFill="1" applyBorder="1"/>
    <x:xf numFmtId="0" fontId="0" fillId="0" borderId="92" xfId="0" applyNumberFormat="1" applyFont="1" applyFill="1" applyBorder="1"/>
    <x:xf numFmtId="0" fontId="0" fillId="0" borderId="85" xfId="0" applyNumberFormat="1" applyFont="1" applyFill="1" applyBorder="1"/>
    <x:xf numFmtId="0" fontId="0" fillId="0" borderId="86" xfId="0" applyNumberFormat="1" applyFont="1" applyFill="1" applyBorder="1"/>
    <x:xf numFmtId="0" fontId="0" fillId="0" borderId="87" xfId="0" applyNumberFormat="1" applyFont="1" applyFill="1" applyBorder="1"/>
    <x:xf numFmtId="0" fontId="19" fillId="0" borderId="90" xfId="0" applyNumberFormat="1" applyFont="1" applyFill="1" applyBorder="1" applyAlignment="1">
      <x:alignment wrapText="1"/>
    </x:xf>
    <x:xf numFmtId="0" fontId="19" fillId="0" borderId="91" xfId="0" applyNumberFormat="1" applyFont="1" applyFill="1" applyBorder="1" applyAlignment="1">
      <x:alignment wrapText="1"/>
    </x:xf>
    <x:xf numFmtId="0" fontId="19" fillId="0" borderId="92" xfId="0" applyNumberFormat="1" applyFont="1" applyFill="1" applyBorder="1" applyAlignment="1">
      <x:alignment wrapText="1"/>
    </x:xf>
    <x:xf numFmtId="0" fontId="17" fillId="5" borderId="93" xfId="0" applyNumberFormat="1" applyFont="1" applyFill="1" applyBorder="1" applyAlignment="1">
      <x:alignment horizontal="center" vertical="center"/>
    </x:xf>
    <x:xf numFmtId="0" fontId="17" fillId="5" borderId="94" xfId="0" applyNumberFormat="1" applyFont="1" applyFill="1" applyBorder="1" applyAlignment="1">
      <x:alignment horizontal="center" vertical="center"/>
    </x:xf>
    <x:xf numFmtId="0" fontId="17" fillId="5" borderId="95" xfId="0" applyNumberFormat="1" applyFont="1" applyFill="1" applyBorder="1" applyAlignment="1">
      <x:alignment horizontal="center" vertical="center"/>
    </x:xf>
    <x:xf numFmtId="0" fontId="0" fillId="0" borderId="93" xfId="0" applyNumberFormat="1" applyFont="1" applyFill="1" applyBorder="1"/>
    <x:xf numFmtId="0" fontId="0" fillId="0" borderId="94" xfId="0" applyNumberFormat="1" applyFont="1" applyFill="1" applyBorder="1"/>
    <x:xf numFmtId="0" fontId="0" fillId="0" borderId="95" xfId="0" applyNumberFormat="1" applyFont="1" applyFill="1" applyBorder="1"/>
    <x:xf numFmtId="0" fontId="17" fillId="6" borderId="93" xfId="0" applyNumberFormat="1" applyFont="1" applyFill="1" applyBorder="1" applyAlignment="1">
      <x:alignment horizontal="center" vertical="center"/>
    </x:xf>
    <x:xf numFmtId="0" fontId="17" fillId="6" borderId="94" xfId="0" applyNumberFormat="1" applyFont="1" applyFill="1" applyBorder="1" applyAlignment="1">
      <x:alignment horizontal="center" vertical="center"/>
    </x:xf>
    <x:xf numFmtId="0" fontId="17" fillId="6" borderId="95" xfId="0" applyNumberFormat="1" applyFont="1" applyFill="1" applyBorder="1" applyAlignment="1">
      <x:alignment horizontal="center" vertical="center"/>
    </x:xf>
    <x:xf numFmtId="0" fontId="17" fillId="6" borderId="93" xfId="0" applyNumberFormat="1" applyFont="1" applyFill="1" applyBorder="1" applyAlignment="1">
      <x:alignment horizontal="center" vertical="center" wrapText="1"/>
    </x:xf>
    <x:xf numFmtId="0" fontId="17" fillId="6" borderId="94" xfId="0" applyNumberFormat="1" applyFont="1" applyFill="1" applyBorder="1" applyAlignment="1">
      <x:alignment horizontal="center" vertical="center" wrapText="1"/>
    </x:xf>
    <x:xf numFmtId="0" fontId="17" fillId="6" borderId="95" xfId="0" applyNumberFormat="1" applyFont="1" applyFill="1" applyBorder="1" applyAlignment="1">
      <x:alignment horizontal="center" vertical="center" wrapText="1"/>
    </x:xf>
    <x:xf numFmtId="0" fontId="0" fillId="6" borderId="93" xfId="0" applyNumberFormat="1" applyFont="1" applyFill="1" applyBorder="1"/>
    <x:xf numFmtId="0" fontId="0" fillId="6" borderId="94" xfId="0" applyNumberFormat="1" applyFont="1" applyFill="1" applyBorder="1"/>
    <x:xf numFmtId="0" fontId="0" fillId="6" borderId="95" xfId="0" applyNumberFormat="1" applyFont="1" applyFill="1" applyBorder="1"/>
    <x:xf numFmtId="0" fontId="17" fillId="6" borderId="93" xfId="0" applyNumberFormat="1" applyFont="1" applyFill="1" applyBorder="1"/>
    <x:xf numFmtId="0" fontId="17" fillId="6" borderId="94" xfId="0" applyNumberFormat="1" applyFont="1" applyFill="1" applyBorder="1"/>
    <x:xf numFmtId="0" fontId="17" fillId="6" borderId="95" xfId="0" applyNumberFormat="1" applyFont="1" applyFill="1" applyBorder="1"/>
    <x:xf numFmtId="0" fontId="17" fillId="6" borderId="93" xfId="0" applyNumberFormat="1" applyFont="1" applyFill="1" applyBorder="1" applyAlignment="1">
      <x:alignment horizontal="center"/>
    </x:xf>
    <x:xf numFmtId="0" fontId="17" fillId="6" borderId="94" xfId="0" applyNumberFormat="1" applyFont="1" applyFill="1" applyBorder="1" applyAlignment="1">
      <x:alignment horizontal="center"/>
    </x:xf>
    <x:xf numFmtId="0" fontId="17" fillId="6" borderId="95" xfId="0" applyNumberFormat="1" applyFont="1" applyFill="1" applyBorder="1" applyAlignment="1">
      <x:alignment horizontal="center"/>
    </x:xf>
    <x:xf numFmtId="0" fontId="17" fillId="5" borderId="93" xfId="0" applyNumberFormat="1" applyFont="1" applyFill="1" applyBorder="1" applyAlignment="1">
      <x:alignment horizontal="center" vertical="center" wrapText="1"/>
    </x:xf>
    <x:xf numFmtId="0" fontId="17" fillId="5" borderId="94" xfId="0" applyNumberFormat="1" applyFont="1" applyFill="1" applyBorder="1" applyAlignment="1">
      <x:alignment horizontal="center" vertical="center" wrapText="1"/>
    </x:xf>
    <x:xf numFmtId="0" fontId="17" fillId="5" borderId="95" xfId="0" applyNumberFormat="1" applyFont="1" applyFill="1" applyBorder="1" applyAlignment="1">
      <x:alignment horizontal="center" vertical="center" wrapText="1"/>
    </x:xf>
    <x:xf numFmtId="0" fontId="0" fillId="5" borderId="93" xfId="0" applyNumberFormat="1" applyFont="1" applyFill="1" applyBorder="1"/>
    <x:xf numFmtId="0" fontId="0" fillId="5" borderId="94" xfId="0" applyNumberFormat="1" applyFont="1" applyFill="1" applyBorder="1"/>
    <x:xf numFmtId="0" fontId="0" fillId="5" borderId="95" xfId="0" applyNumberFormat="1" applyFont="1" applyFill="1" applyBorder="1"/>
    <x:xf numFmtId="0" fontId="17" fillId="5" borderId="93" xfId="0" applyNumberFormat="1" applyFont="1" applyFill="1" applyBorder="1"/>
    <x:xf numFmtId="0" fontId="17" fillId="5" borderId="94" xfId="0" applyNumberFormat="1" applyFont="1" applyFill="1" applyBorder="1"/>
    <x:xf numFmtId="0" fontId="17" fillId="5" borderId="95" xfId="0" applyNumberFormat="1" applyFont="1" applyFill="1" applyBorder="1"/>
    <x:xf numFmtId="0" fontId="17" fillId="5" borderId="93" xfId="0" applyNumberFormat="1" applyFont="1" applyFill="1" applyBorder="1" applyAlignment="1">
      <x:alignment horizontal="center"/>
    </x:xf>
    <x:xf numFmtId="0" fontId="17" fillId="5" borderId="94" xfId="0" applyNumberFormat="1" applyFont="1" applyFill="1" applyBorder="1" applyAlignment="1">
      <x:alignment horizontal="center"/>
    </x:xf>
    <x:xf numFmtId="0" fontId="17" fillId="5" borderId="95" xfId="0" applyNumberFormat="1" applyFont="1" applyFill="1" applyBorder="1" applyAlignment="1">
      <x:alignment horizontal="center"/>
    </x:xf>
    <x:xf numFmtId="167" fontId="0" fillId="0" borderId="0" xfId="0" applyNumberFormat="1" applyFont="1" applyFill="1" applyBorder="1" applyAlignment="1">
      <x:alignment vertical="center" wrapText="1"/>
    </x:xf>
    <x:xf numFmtId="167" fontId="18" fillId="0" borderId="0" xfId="0" applyNumberFormat="1" applyFont="1" applyFill="1" applyBorder="1"/>
    <x:xf numFmtId="167" fontId="19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167" fontId="0" fillId="0" borderId="0" xfId="0" applyNumberFormat="1" applyFont="1" applyFill="1" applyBorder="1" applyAlignment="1">
      <x:alignment horizontal="center" vertical="center" wrapText="1"/>
    </x:xf>
    <x:xf numFmtId="167" fontId="0" fillId="0" borderId="0" xfId="0" applyNumberFormat="1" applyFont="1" applyFill="1" applyBorder="1" applyAlignment="1">
      <x:alignment horizontal="center"/>
    </x:xf>
    <x:xf numFmtId="167" fontId="18" fillId="0" borderId="0" xfId="0" applyNumberFormat="1" applyFont="1" applyFill="1" applyBorder="1" applyAlignment="1">
      <x:alignment horizontal="center"/>
    </x:xf>
    <x:xf numFmtId="167" fontId="19" fillId="0" borderId="0" xfId="0" applyNumberFormat="1" applyFont="1" applyFill="1" applyBorder="1" applyAlignment="1">
      <x:alignment horizontal="center" wrapText="1"/>
    </x:xf>
    <x:xf numFmtId="0" fontId="0" fillId="0" borderId="96" xfId="0" applyNumberFormat="1" applyFont="1" applyFill="1" applyBorder="1"/>
    <x:xf numFmtId="0" fontId="0" fillId="0" borderId="97" xfId="0" applyNumberFormat="1" applyFont="1" applyFill="1" applyBorder="1"/>
    <x:xf numFmtId="0" fontId="0" fillId="0" borderId="98" xfId="0" applyNumberFormat="1" applyFont="1" applyFill="1" applyBorder="1"/>
    <x:xf numFmtId="0" fontId="0" fillId="0" borderId="99" xfId="0" applyNumberFormat="1" applyFont="1" applyFill="1" applyBorder="1"/>
    <x:xf numFmtId="0" fontId="0" fillId="0" borderId="100" xfId="0" applyNumberFormat="1" applyFont="1" applyFill="1" applyBorder="1"/>
    <x:xf numFmtId="0" fontId="18" fillId="0" borderId="101" xfId="0" applyNumberFormat="1" applyFont="1" applyFill="1" applyBorder="1" applyAlignment="1">
      <x:alignment vertical="center" wrapText="1"/>
    </x:xf>
    <x:xf numFmtId="0" fontId="18" fillId="0" borderId="102" xfId="0" applyNumberFormat="1" applyFont="1" applyFill="1" applyBorder="1" applyAlignment="1">
      <x:alignment vertical="center" wrapText="1"/>
    </x:xf>
    <x:xf numFmtId="0" fontId="18" fillId="0" borderId="103" xfId="0" applyNumberFormat="1" applyFont="1" applyFill="1" applyBorder="1" applyAlignment="1">
      <x:alignment vertical="center" wrapText="1"/>
    </x:xf>
    <x:xf numFmtId="0" fontId="0" fillId="0" borderId="103" xfId="0" applyNumberFormat="1" applyFont="1" applyFill="1" applyBorder="1" applyAlignment="1">
      <x:alignment wrapText="1"/>
    </x:xf>
    <x:xf numFmtId="0" fontId="0" fillId="0" borderId="101" xfId="0" applyNumberFormat="1" applyFont="1" applyFill="1" applyBorder="1" applyAlignment="1">
      <x:alignment wrapText="1"/>
    </x:xf>
    <x:xf numFmtId="0" fontId="19" fillId="0" borderId="104" xfId="0" applyNumberFormat="1" applyFont="1" applyFill="1" applyBorder="1" applyAlignment="1">
      <x:alignment wrapText="1"/>
    </x:xf>
    <x:xf numFmtId="0" fontId="0" fillId="0" borderId="105" xfId="0" applyNumberFormat="1" applyFont="1" applyFill="1" applyBorder="1" applyAlignment="1">
      <x:alignment vertical="center" wrapText="1"/>
    </x:xf>
    <x:xf numFmtId="167" fontId="0" fillId="0" borderId="106" xfId="0" applyNumberFormat="1" applyFont="1" applyFill="1" applyBorder="1" applyAlignment="1">
      <x:alignment horizontal="center" vertical="center" wrapText="1"/>
    </x:xf>
    <x:xf numFmtId="0" fontId="0" fillId="0" borderId="105" xfId="0" applyNumberFormat="1" applyFont="1" applyFill="1" applyBorder="1" applyAlignment="1">
      <x:alignment wrapText="1"/>
    </x:xf>
    <x:xf numFmtId="167" fontId="0" fillId="0" borderId="106" xfId="0" applyNumberFormat="1" applyFont="1" applyFill="1" applyBorder="1" applyAlignment="1">
      <x:alignment horizontal="center"/>
    </x:xf>
    <x:xf numFmtId="0" fontId="18" fillId="0" borderId="105" xfId="0" applyNumberFormat="1" applyFont="1" applyFill="1" applyBorder="1" applyAlignment="1">
      <x:alignment wrapText="1"/>
    </x:xf>
    <x:xf numFmtId="167" fontId="18" fillId="0" borderId="106" xfId="0" applyNumberFormat="1" applyFont="1" applyFill="1" applyBorder="1" applyAlignment="1">
      <x:alignment horizontal="center"/>
    </x:xf>
    <x:xf numFmtId="0" fontId="19" fillId="0" borderId="105" xfId="0" applyNumberFormat="1" applyFont="1" applyFill="1" applyBorder="1" applyAlignment="1">
      <x:alignment wrapText="1"/>
    </x:xf>
    <x:xf numFmtId="167" fontId="19" fillId="0" borderId="106" xfId="0" applyNumberFormat="1" applyFont="1" applyFill="1" applyBorder="1" applyAlignment="1">
      <x:alignment horizontal="center" wrapText="1"/>
    </x:xf>
    <x:xf numFmtId="0" fontId="18" fillId="0" borderId="103" xfId="0" applyNumberFormat="1" applyFont="1" applyFill="1" applyBorder="1" applyAlignment="1">
      <x:alignment wrapText="1"/>
    </x:xf>
    <x:xf numFmtId="0" fontId="18" fillId="0" borderId="101" xfId="0" applyNumberFormat="1" applyFont="1" applyFill="1" applyBorder="1" applyAlignment="1">
      <x:alignment wrapText="1"/>
    </x:xf>
    <x:xf numFmtId="0" fontId="20" fillId="0" borderId="104" xfId="0" applyNumberFormat="1" applyFont="1" applyFill="1" applyBorder="1" applyAlignment="1">
      <x:alignment wrapText="1"/>
    </x:xf>
    <x:xf numFmtId="0" fontId="21" fillId="0" borderId="105" xfId="0" applyNumberFormat="1" applyFont="1" applyFill="1" applyBorder="1" applyAlignment="1">
      <x:alignment vertical="center" wrapText="1"/>
    </x:xf>
    <x:xf numFmtId="0" fontId="21" fillId="0" borderId="105" xfId="0" applyNumberFormat="1" applyFont="1" applyFill="1" applyBorder="1" applyAlignment="1">
      <x:alignment wrapText="1"/>
    </x:xf>
    <x:xf numFmtId="0" fontId="22" fillId="0" borderId="105" xfId="0" applyNumberFormat="1" applyFont="1" applyFill="1" applyBorder="1" applyAlignment="1">
      <x:alignment wrapText="1"/>
    </x:xf>
    <x:xf numFmtId="0" fontId="23" fillId="0" borderId="101" xfId="0" applyNumberFormat="1" applyFont="1" applyFill="1" applyBorder="1" applyAlignment="1">
      <x:alignment vertical="center" wrapText="1"/>
    </x:xf>
    <x:xf numFmtId="0" fontId="23" fillId="0" borderId="102" xfId="0" applyNumberFormat="1" applyFont="1" applyFill="1" applyBorder="1" applyAlignment="1">
      <x:alignment vertical="center" wrapText="1"/>
    </x:xf>
    <x:xf numFmtId="0" fontId="23" fillId="0" borderId="103" xfId="0" applyNumberFormat="1" applyFont="1" applyFill="1" applyBorder="1" applyAlignment="1">
      <x:alignment vertical="center" wrapText="1"/>
    </x:xf>
    <x:xf numFmtId="0" fontId="23" fillId="0" borderId="103" xfId="0" applyNumberFormat="1" applyFont="1" applyFill="1" applyBorder="1" applyAlignment="1">
      <x:alignment wrapText="1"/>
    </x:xf>
    <x:xf numFmtId="0" fontId="23" fillId="0" borderId="101" xfId="0" applyNumberFormat="1" applyFont="1" applyFill="1" applyBorder="1" applyAlignment="1">
      <x:alignment wrapText="1"/>
    </x:xf>
    <x:xf numFmtId="0" fontId="23" fillId="0" borderId="104" xfId="0" applyNumberFormat="1" applyFont="1" applyFill="1" applyBorder="1" applyAlignment="1">
      <x:alignment wrapText="1"/>
    </x:xf>
    <x:xf numFmtId="0" fontId="24" fillId="0" borderId="105" xfId="0" applyNumberFormat="1" applyFont="1" applyFill="1" applyBorder="1" applyAlignment="1">
      <x:alignment vertical="center" wrapText="1"/>
    </x:xf>
    <x:xf numFmtId="0" fontId="24" fillId="0" borderId="105" xfId="0" applyNumberFormat="1" applyFont="1" applyFill="1" applyBorder="1" applyAlignment="1">
      <x:alignment wrapText="1"/>
    </x:xf>
    <x:xf numFmtId="167" fontId="24" fillId="0" borderId="106" xfId="0" applyNumberFormat="1" applyFont="1" applyFill="1" applyBorder="1" applyAlignment="1">
      <x:alignment horizontal="center" vertical="center" wrapText="1"/>
    </x:xf>
    <x:xf numFmtId="167" fontId="24" fillId="0" borderId="106" xfId="0" applyNumberFormat="1" applyFont="1" applyFill="1" applyBorder="1" applyAlignment="1">
      <x:alignment horizontal="center"/>
    </x:xf>
    <x:xf numFmtId="167" fontId="24" fillId="0" borderId="106" xfId="0" applyNumberFormat="1" applyFont="1" applyFill="1" applyBorder="1" applyAlignment="1">
      <x:alignment horizontal="center" wrapText="1"/>
    </x:xf>
    <x:xf numFmtId="0" fontId="18" fillId="0" borderId="104" xfId="0" applyNumberFormat="1" applyFont="1" applyFill="1" applyBorder="1" applyAlignment="1">
      <x:alignment wrapText="1"/>
    </x:xf>
    <x:xf numFmtId="167" fontId="0" fillId="0" borderId="106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200" fontId="18" fillId="0" borderId="0" xfId="0" applyNumberFormat="1" applyFont="1" applyFill="1" applyBorder="1" applyAlignment="1">
      <x:alignment wrapText="1"/>
    </x:xf>
    <x:xf numFmtId="200" fontId="18" fillId="0" borderId="0" xfId="0" applyNumberFormat="1" applyFont="1" applyFill="1" applyBorder="1" applyAlignment="1">
      <x:alignment vertical="center" wrapText="1"/>
    </x:xf>
    <x:xf numFmtId="0" fontId="18" fillId="0" borderId="104" xfId="0" applyNumberFormat="1" applyFont="1" applyFill="1" applyBorder="1" applyAlignment="1">
      <x:alignment vertical="center" wrapText="1"/>
    </x:xf>
    <x:xf numFmtId="0" fontId="0" fillId="0" borderId="107" xfId="0" applyNumberFormat="1" applyFont="1" applyFill="1" applyBorder="1"/>
    <x:xf numFmtId="0" fontId="0" fillId="0" borderId="108" xfId="0" applyNumberFormat="1" applyFont="1" applyFill="1" applyBorder="1"/>
    <x:xf numFmtId="0" fontId="0" fillId="0" borderId="109" xfId="0" applyNumberFormat="1" applyFont="1" applyFill="1" applyBorder="1"/>
    <x:xf numFmtId="0" fontId="0" fillId="0" borderId="110" xfId="0" applyNumberFormat="1" applyFont="1" applyFill="1" applyBorder="1"/>
    <x:xf numFmtId="0" fontId="19" fillId="0" borderId="108" xfId="0" applyNumberFormat="1" applyFont="1" applyFill="1" applyBorder="1" applyAlignment="1">
      <x:alignment wrapText="1"/>
    </x:xf>
    <x:xf numFmtId="0" fontId="19" fillId="0" borderId="109" xfId="0" applyNumberFormat="1" applyFont="1" applyFill="1" applyBorder="1" applyAlignment="1">
      <x:alignment wrapText="1"/>
    </x:xf>
    <x:xf numFmtId="0" fontId="19" fillId="0" borderId="110" xfId="0" applyNumberFormat="1" applyFont="1" applyFill="1" applyBorder="1" applyAlignment="1">
      <x:alignment wrapText="1"/>
    </x:xf>
    <x:xf numFmtId="0" fontId="0" fillId="0" borderId="111" xfId="0" applyNumberFormat="1" applyFont="1" applyFill="1" applyBorder="1"/>
    <x:xf numFmtId="0" fontId="0" fillId="0" borderId="112" xfId="0" applyNumberFormat="1" applyFont="1" applyFill="1" applyBorder="1"/>
    <x:xf numFmtId="0" fontId="0" fillId="0" borderId="113" xfId="0" applyNumberFormat="1" applyFont="1" applyFill="1" applyBorder="1"/>
    <x:xf numFmtId="0" fontId="0" fillId="0" borderId="114" xfId="0" applyNumberFormat="1" applyFont="1" applyFill="1" applyBorder="1"/>
    <x:xf numFmtId="0" fontId="19" fillId="0" borderId="112" xfId="0" applyNumberFormat="1" applyFont="1" applyFill="1" applyBorder="1" applyAlignment="1">
      <x:alignment wrapText="1"/>
    </x:xf>
    <x:xf numFmtId="0" fontId="19" fillId="0" borderId="113" xfId="0" applyNumberFormat="1" applyFont="1" applyFill="1" applyBorder="1" applyAlignment="1">
      <x:alignment wrapText="1"/>
    </x:xf>
    <x:xf numFmtId="0" fontId="19" fillId="0" borderId="114" xfId="0" applyNumberFormat="1" applyFont="1" applyFill="1" applyBorder="1" applyAlignment="1">
      <x:alignment wrapText="1"/>
    </x:xf>
  </x:cellXfs>
  <x:cellStyles count="2">
    <x:cellStyle name="Euro" xfId="1"/>
    <x:cellStyle name="Normal" xfId="0"/>
  </x:cellStyles>
  <x:dxfs count="22"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12AEE2"/>
        </x:patternFill>
      </x:fill>
    </x:dxf>
    <x:dxf>
      <x:fill>
        <x:patternFill>
          <x:bgColor rgb="FF12AEE2"/>
        </x:patternFill>
      </x:fill>
    </x:dxf>
    <x:dxf>
      <x:fill>
        <x:patternFill>
          <x:bgColor rgb="FF00AEEF"/>
        </x:patternFill>
      </x:fill>
    </x:dxf>
    <x:dxf>
      <x:fill>
        <x:patternFill>
          <x:bgColor rgb="FF00AEEF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d9b4e0a2a4192" /><Relationship Type="http://schemas.openxmlformats.org/officeDocument/2006/relationships/theme" Target="/xl/theme/theme1.xml" Id="R9688ce488ab24161" /><Relationship Type="http://schemas.openxmlformats.org/officeDocument/2006/relationships/sharedStrings" Target="/xl/sharedStrings.xml" Id="R645cb01c898b4f70" /><Relationship Type="http://schemas.openxmlformats.org/officeDocument/2006/relationships/worksheet" Target="/xl/worksheets/sheet1.xml" Id="R2f4d5df5856a4e60" /><Relationship Type="http://schemas.openxmlformats.org/officeDocument/2006/relationships/worksheet" Target="/xl/worksheets/sheet2.xml" Id="R5e73fc1c4a3d4e2c" /><Relationship Type="http://schemas.openxmlformats.org/officeDocument/2006/relationships/worksheet" Target="/xl/worksheets/sheet3.xml" Id="Rf9052cad700840f8" /><Relationship Type="http://schemas.openxmlformats.org/officeDocument/2006/relationships/worksheet" Target="/xl/worksheets/sheet4.xml" Id="R951b659f1bc94aee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.42578125" defaultRowHeight="15"/>
  <x:cols>
    <x:col min="1" max="1" width="20.28515625" style="1" customWidth="1"/>
    <x:col min="2" max="2" width="50" style="1" customWidth="1"/>
    <x:col min="3" max="3" width="14.140625" style="2" customWidth="1"/>
    <x:col min="4" max="4" width="11.7109375" style="3" customWidth="1"/>
    <x:col min="5" max="5" width="12.28515625" style="4" customWidth="1"/>
    <x:col min="6" max="6" width="10" style="5" customWidth="1"/>
    <x:col min="7" max="257" width="11.42578125" style="1" customWidth="1"/>
  </x:cols>
  <x:sheetData>
    <x:row r="1" ht="17.25" customHeight="1">
      <x:c r="A1" s="81" t="s">
        <x:v>0</x:v>
      </x:c>
      <x:c r="B1" s="82"/>
      <x:c r="C1" s="82"/>
      <x:c r="D1" s="82"/>
      <x:c r="E1" s="82"/>
      <x:c r="F1" s="83"/>
    </x:row>
    <x:row r="3" ht="15.75" customHeight="1"/>
    <x:row r="4" ht="45.75" customHeight="1">
      <x:c r="E4" s="6" t="s">
        <x:v>1</x:v>
      </x:c>
      <x:c r="F4" s="7" t="s">
        <x:v>2</x:v>
      </x:c>
    </x:row>
    <x:row r="5" ht="15.75" customHeight="1">
      <x:c r="E5" s="8"/>
      <x:c r="F5" s="9"/>
    </x:row>
    <x:row r="6" ht="17.25" customHeight="1">
      <x:c r="A6" s="10" t="s">
        <x:v>3</x:v>
      </x:c>
      <x:c r="B6" s="11" t="s">
        <x:v>4</x:v>
      </x:c>
      <x:c r="C6" s="12">
        <x:v>6578.44</x:v>
      </x:c>
      <x:c r="D6" s="13" t="n">
        <x:f>C6/450</x:f>
        <x:v>14.618755555555556</x:v>
      </x:c>
      <x:c r="E6" s="14">
        <x:v>2</x:v>
      </x:c>
      <x:c r="F6" s="15" t="n">
        <x:f>D6/E6</x:f>
        <x:v>7.309377777777778</x:v>
      </x:c>
    </x:row>
    <x:row r="7" ht="30.75" customHeight="1">
      <x:c r="A7" s="16"/>
      <x:c r="B7" s="17" t="s">
        <x:v>5</x:v>
      </x:c>
      <x:c r="C7" s="12" t="n">
        <x:f>54993.68+3607.32</x:f>
        <x:v>58601</x:v>
      </x:c>
      <x:c r="D7" s="13" t="n">
        <x:f>C7/450</x:f>
        <x:v>130.22444444444446</x:v>
      </x:c>
      <x:c r="E7" s="14">
        <x:v>2</x:v>
      </x:c>
      <x:c r="F7" s="15" t="n">
        <x:f>D7/E7</x:f>
        <x:v>65.11222222222223</x:v>
      </x:c>
    </x:row>
    <x:row r="8" ht="15.75" customHeight="1">
      <x:c r="A8" s="16"/>
      <x:c r="B8" s="11" t="s">
        <x:v>6</x:v>
      </x:c>
      <x:c r="C8" s="12" t="n">
        <x:f>1744.03+4580.81+74.72+1110</x:f>
        <x:v>7509.56</x:v>
      </x:c>
      <x:c r="D8" s="13" t="n">
        <x:f>C8/450</x:f>
        <x:v>16.687911111111113</x:v>
      </x:c>
      <x:c r="E8" s="14">
        <x:v>2</x:v>
      </x:c>
      <x:c r="F8" s="15" t="n">
        <x:f>D8/E8</x:f>
        <x:v>8.343955555555556</x:v>
      </x:c>
    </x:row>
    <x:row r="9" ht="15.75" customHeight="1">
      <x:c r="A9" s="16"/>
      <x:c r="B9" s="11" t="s">
        <x:v>7</x:v>
      </x:c>
      <x:c r="C9" s="12" t="n">
        <x:f>1207.24+1290</x:f>
        <x:v>2497.24</x:v>
      </x:c>
      <x:c r="D9" s="13" t="n">
        <x:f>C9/450</x:f>
        <x:v>5.549422222222222</x:v>
      </x:c>
      <x:c r="E9" s="14">
        <x:v>2</x:v>
      </x:c>
      <x:c r="F9" s="15" t="n">
        <x:f>D9/E9</x:f>
        <x:v>2.774711111111111</x:v>
      </x:c>
    </x:row>
    <x:row r="11" ht="15" customHeight="1">
      <x:c r="C11" s="2" t="n">
        <x:f>SUM(C6:C9)</x:f>
        <x:v>75186.24</x:v>
      </x:c>
      <x:c r="E11" s="18" t="s">
        <x:v>8</x:v>
      </x:c>
      <x:c r="F11" s="19" t="n">
        <x:f>SUM(F6:F10)</x:f>
        <x:v>83.54026666666668</x:v>
      </x:c>
    </x:row>
    <x:row r="14" ht="15.75" customHeight="1"/>
    <x:row r="15" ht="17.25" customHeight="1">
      <x:c r="A15" s="81" t="s">
        <x:v>9</x:v>
      </x:c>
      <x:c r="B15" s="82"/>
      <x:c r="C15" s="82"/>
      <x:c r="D15" s="82"/>
      <x:c r="E15" s="82"/>
      <x:c r="F15" s="83"/>
    </x:row>
    <x:row r="17" ht="15.75" customHeight="1"/>
    <x:row r="18" ht="28.5" customHeight="1">
      <x:c r="E18" s="6" t="s">
        <x:v>1</x:v>
      </x:c>
      <x:c r="F18" s="7" t="s">
        <x:v>2</x:v>
      </x:c>
    </x:row>
    <x:row r="19" ht="17.25">
      <x:c r="A19" s="10" t="s">
        <x:v>10</x:v>
      </x:c>
      <x:c r="E19" s="8"/>
      <x:c r="F19" s="9"/>
    </x:row>
    <x:row r="20" ht="33.75">
      <x:c r="A20" s="10" t="s">
        <x:v>11</x:v>
      </x:c>
      <x:c r="B20" s="17" t="s">
        <x:v>12</x:v>
      </x:c>
      <x:c r="C20" s="12"/>
      <x:c r="D20" s="50">
        <x:v>13</x:v>
      </x:c>
      <x:c r="E20" s="14">
        <x:v>2</x:v>
      </x:c>
      <x:c r="F20" s="15" t="n">
        <x:f>D20/E20</x:f>
        <x:v>6.5</x:v>
      </x:c>
    </x:row>
    <x:row r="21" ht="15.75">
      <x:c r="A21" s="16"/>
      <x:c r="B21" s="17" t="s">
        <x:v>13</x:v>
      </x:c>
      <x:c r="C21" s="12"/>
      <x:c r="D21" s="50">
        <x:v>31</x:v>
      </x:c>
      <x:c r="E21" s="14">
        <x:v>2</x:v>
      </x:c>
      <x:c r="F21" s="15" t="n">
        <x:f>D21/E21</x:f>
        <x:v>15.5</x:v>
      </x:c>
    </x:row>
    <x:row r="22" ht="33.75">
      <x:c r="A22" s="10" t="s">
        <x:v>14</x:v>
      </x:c>
      <x:c r="B22" s="17" t="s">
        <x:v>12</x:v>
      </x:c>
      <x:c r="C22" s="12"/>
      <x:c r="D22" s="50" t="n">
        <x:f>103.14/7</x:f>
        <x:v>14.734285714285715</x:v>
      </x:c>
      <x:c r="E22" s="14">
        <x:v>2</x:v>
      </x:c>
      <x:c r="F22" s="15" t="n">
        <x:f>D22/E22</x:f>
        <x:v>7.367142857142857</x:v>
      </x:c>
    </x:row>
    <x:row r="23" ht="30.75">
      <x:c r="A23" s="16"/>
      <x:c r="B23" s="17" t="s">
        <x:v>15</x:v>
      </x:c>
      <x:c r="C23" s="12"/>
      <x:c r="D23" s="50">
        <x:v>45.5</x:v>
      </x:c>
      <x:c r="E23" s="14">
        <x:v>2</x:v>
      </x:c>
      <x:c r="F23" s="15" t="n">
        <x:f>D23/E23</x:f>
        <x:v>22.75</x:v>
      </x:c>
    </x:row>
    <x:row r="24" ht="30.75">
      <x:c r="A24" s="49" t="s">
        <x:v>16</x:v>
      </x:c>
      <x:c r="B24" s="17" t="s">
        <x:v>17</x:v>
      </x:c>
      <x:c r="C24" s="12"/>
      <x:c r="D24" s="50" t="n">
        <x:f>31.8/7</x:f>
        <x:v>4.542857142857143</x:v>
      </x:c>
      <x:c r="E24" s="14">
        <x:v>2</x:v>
      </x:c>
      <x:c r="F24" s="15" t="n">
        <x:f>D24/E24</x:f>
        <x:v>2.2714285714285714</x:v>
      </x:c>
    </x:row>
    <x:row r="26" ht="16.5" customHeight="1">
      <x:c r="C26" s="2" t="n">
        <x:f>SUM(C20:C24)</x:f>
        <x:v>0</x:v>
      </x:c>
      <x:c r="E26" s="18" t="s">
        <x:v>8</x:v>
      </x:c>
      <x:c r="F26" s="19" t="n">
        <x:f>SUM(F20:F25)</x:f>
        <x:v>54.38857142857143</x:v>
      </x:c>
    </x:row>
  </x:sheetData>
  <x:mergeCells>
    <x:mergeCell ref="A1:F1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2578125" defaultRowHeight="15"/>
  <x:cols>
    <x:col min="1" max="1" width="20.28515625" style="1" customWidth="1"/>
    <x:col min="2" max="2" width="50" style="1" customWidth="1"/>
    <x:col min="3" max="3" width="12.28515625" style="4" customWidth="1"/>
    <x:col min="4" max="4" width="10" style="5" customWidth="1"/>
    <x:col min="5" max="255" width="11.42578125" style="1" customWidth="1"/>
  </x:cols>
  <x:sheetData>
    <x:row r="1" ht="17.25" customHeight="1">
      <x:c r="A1" s="81" t="s">
        <x:v>0</x:v>
      </x:c>
      <x:c r="B1" s="82"/>
      <x:c r="C1" s="82"/>
      <x:c r="D1" s="83"/>
    </x:row>
    <x:row r="3" ht="15.75" customHeight="1"/>
    <x:row r="4" ht="45.75" customHeight="1">
      <x:c r="C4" s="6" t="s">
        <x:v>1</x:v>
      </x:c>
      <x:c r="D4" s="7" t="s">
        <x:v>2</x:v>
      </x:c>
    </x:row>
    <x:row r="5" ht="15.75" customHeight="1">
      <x:c r="A5" s="52" t="s">
        <x:v>18</x:v>
      </x:c>
      <x:c r="C5" s="8"/>
      <x:c r="D5" s="9"/>
    </x:row>
    <x:row r="6" ht="17.25" customHeight="1">
      <x:c r="A6" s="10" t="s">
        <x:v>3</x:v>
      </x:c>
      <x:c r="B6" s="11" t="s">
        <x:v>4</x:v>
      </x:c>
      <x:c r="C6" s="14">
        <x:v>7</x:v>
      </x:c>
      <x:c r="D6" s="15">
        <x:v>2.5</x:v>
      </x:c>
    </x:row>
    <x:row r="7" ht="30.75" customHeight="1">
      <x:c r="A7" s="16"/>
      <x:c r="B7" s="17" t="s">
        <x:v>5</x:v>
      </x:c>
      <x:c r="C7" s="14">
        <x:v>7</x:v>
      </x:c>
      <x:c r="D7" s="15">
        <x:v>22.5</x:v>
      </x:c>
    </x:row>
    <x:row r="8" ht="15.75" customHeight="1">
      <x:c r="A8" s="16"/>
      <x:c r="B8" s="11" t="s">
        <x:v>6</x:v>
      </x:c>
      <x:c r="C8" s="14">
        <x:v>7</x:v>
      </x:c>
      <x:c r="D8" s="15">
        <x:v>3</x:v>
      </x:c>
    </x:row>
    <x:row r="9" ht="15.75" customHeight="1">
      <x:c r="A9" s="16"/>
      <x:c r="B9" s="11" t="s">
        <x:v>7</x:v>
      </x:c>
      <x:c r="C9" s="14">
        <x:v>7</x:v>
      </x:c>
      <x:c r="D9" s="15">
        <x:v>1</x:v>
      </x:c>
    </x:row>
    <x:row r="11" ht="15" customHeight="1">
      <x:c r="C11" s="18" t="s">
        <x:v>8</x:v>
      </x:c>
      <x:c r="D11" s="19" t="n">
        <x:f>SUM(D6:D10)</x:f>
        <x:v>29</x:v>
      </x:c>
    </x:row>
    <x:row r="14" ht="15.75" customHeight="1"/>
    <x:row r="15" ht="17.25" customHeight="1">
      <x:c r="A15" s="81" t="s">
        <x:v>9</x:v>
      </x:c>
      <x:c r="B15" s="82"/>
      <x:c r="C15" s="82"/>
      <x:c r="D15" s="83"/>
    </x:row>
    <x:row r="17" ht="15.75" customHeight="1"/>
    <x:row r="18" ht="28.5" customHeight="1">
      <x:c r="C18" s="6" t="s">
        <x:v>1</x:v>
      </x:c>
      <x:c r="D18" s="7" t="s">
        <x:v>2</x:v>
      </x:c>
    </x:row>
    <x:row r="19" ht="17.25">
      <x:c r="A19" s="52" t="s">
        <x:v>19</x:v>
      </x:c>
      <x:c r="C19" s="8"/>
      <x:c r="D19" s="9"/>
    </x:row>
    <x:row r="20" ht="33.75">
      <x:c r="A20" s="10" t="s">
        <x:v>11</x:v>
      </x:c>
      <x:c r="B20" s="17" t="s">
        <x:v>12</x:v>
      </x:c>
      <x:c r="C20" s="14">
        <x:v>4</x:v>
      </x:c>
      <x:c r="D20" s="15">
        <x:v>3</x:v>
      </x:c>
    </x:row>
    <x:row r="21" ht="15.75">
      <x:c r="A21" s="16"/>
      <x:c r="B21" s="17" t="s">
        <x:v>13</x:v>
      </x:c>
      <x:c r="C21" s="14">
        <x:v>4</x:v>
      </x:c>
      <x:c r="D21" s="15">
        <x:v>10.5</x:v>
      </x:c>
    </x:row>
    <x:row r="22" ht="33.75">
      <x:c r="A22" s="10" t="s">
        <x:v>14</x:v>
      </x:c>
      <x:c r="B22" s="17" t="s">
        <x:v>12</x:v>
      </x:c>
      <x:c r="C22" s="14">
        <x:v>4</x:v>
      </x:c>
      <x:c r="D22" s="15">
        <x:v>2.5</x:v>
      </x:c>
    </x:row>
    <x:row r="23" ht="30.75">
      <x:c r="A23" s="16"/>
      <x:c r="B23" s="17" t="s">
        <x:v>15</x:v>
      </x:c>
      <x:c r="C23" s="14">
        <x:v>4</x:v>
      </x:c>
      <x:c r="D23" s="15">
        <x:v>15.5</x:v>
      </x:c>
    </x:row>
    <x:row r="24" ht="30.75">
      <x:c r="A24" s="51" t="s">
        <x:v>16</x:v>
      </x:c>
      <x:c r="B24" s="17" t="s">
        <x:v>17</x:v>
      </x:c>
      <x:c r="C24" s="14">
        <x:v>4</x:v>
      </x:c>
      <x:c r="D24" s="15">
        <x:v>1.5</x:v>
      </x:c>
    </x:row>
    <x:row r="26" ht="16.5" customHeight="1">
      <x:c r="C26" s="18" t="s">
        <x:v>8</x:v>
      </x:c>
      <x:c r="D26" s="19" t="n">
        <x:f>SUM(D20:D25)</x:f>
        <x:v>33</x:v>
      </x:c>
    </x:row>
  </x:sheetData>
  <x:mergeCells>
    <x:mergeCell ref="A1:D1"/>
    <x:mergeCell ref="A15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42578125" defaultRowHeight="12.75"/>
  <x:cols>
    <x:col min="1" max="1" width="13" style="20" customWidth="1"/>
    <x:col min="2" max="2" width="58.85546875" customWidth="1"/>
    <x:col min="3" max="3" width="6.140625" customWidth="1"/>
    <x:col min="4" max="73" width="1.5703125" customWidth="1"/>
  </x:cols>
  <x:sheetData>
    <x:row r="1" ht="27.600000381469727" customHeight="1">
      <x:c r="A1" s="73" t="s">
        <x:v>0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  <x:c r="AP1" s="74"/>
      <x:c r="AQ1" s="74"/>
      <x:c r="AR1" s="74"/>
      <x:c r="AS1" s="74"/>
      <x:c r="AT1" s="74"/>
      <x:c r="AU1" s="74"/>
      <x:c r="AV1" s="74"/>
      <x:c r="AW1" s="74"/>
      <x:c r="AX1" s="74"/>
      <x:c r="AY1" s="74"/>
      <x:c r="AZ1" s="74"/>
      <x:c r="BA1" s="74"/>
      <x:c r="BB1" s="74"/>
      <x:c r="BC1" s="74"/>
      <x:c r="BD1" s="74"/>
      <x:c r="BE1" s="74"/>
      <x:c r="BF1" s="74"/>
      <x:c r="BG1" s="74"/>
      <x:c r="BH1" s="74"/>
      <x:c r="BI1" s="74"/>
      <x:c r="BJ1" s="74"/>
      <x:c r="BK1" s="74"/>
      <x:c r="BL1" s="74"/>
      <x:c r="BM1" s="74"/>
      <x:c r="BN1" s="74"/>
      <x:c r="BO1" s="74"/>
      <x:c r="BP1" s="74"/>
      <x:c r="BQ1" s="74"/>
      <x:c r="BR1" s="74"/>
      <x:c r="BS1" s="74"/>
      <x:c r="BT1" s="74"/>
      <x:c r="BU1" s="74"/>
    </x:row>
    <x:row r="2" ht="27.600000381469727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21"/>
      <x:c r="AV2" s="21"/>
      <x:c r="AW2" s="21"/>
      <x:c r="AX2" s="21"/>
      <x:c r="AY2" s="21"/>
      <x:c r="AZ2" s="21"/>
      <x:c r="BA2" s="21"/>
      <x:c r="BB2" s="21"/>
      <x:c r="BC2" s="21"/>
      <x:c r="BD2" s="21"/>
      <x:c r="BE2" s="21"/>
      <x:c r="BF2" s="21"/>
      <x:c r="BG2" s="21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  <x:c r="BS2" s="21"/>
      <x:c r="BT2" s="21"/>
      <x:c r="BU2" s="21"/>
    </x:row>
    <x:row r="3" ht="13.5" customHeight="1">
      <x:c r="A3" s="22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</x:row>
    <x:row r="4" ht="21.75" customHeight="1">
      <x:c r="A4" s="24"/>
      <x:c r="B4" s="24"/>
      <x:c r="C4" s="24"/>
      <x:c r="D4" s="78" t="s">
        <x:v>20</x:v>
      </x:c>
      <x:c r="E4" s="79"/>
      <x:c r="F4" s="79"/>
      <x:c r="G4" s="79"/>
      <x:c r="H4" s="79"/>
      <x:c r="I4" s="79"/>
      <x:c r="J4" s="79"/>
      <x:c r="K4" s="79"/>
      <x:c r="L4" s="79"/>
      <x:c r="M4" s="80"/>
      <x:c r="N4" s="78" t="s">
        <x:v>21</x:v>
      </x:c>
      <x:c r="O4" s="79"/>
      <x:c r="P4" s="79"/>
      <x:c r="Q4" s="79"/>
      <x:c r="R4" s="79"/>
      <x:c r="S4" s="79"/>
      <x:c r="T4" s="79"/>
      <x:c r="U4" s="79"/>
      <x:c r="V4" s="79"/>
      <x:c r="W4" s="80"/>
      <x:c r="X4" s="78" t="s">
        <x:v>22</x:v>
      </x:c>
      <x:c r="Y4" s="79"/>
      <x:c r="Z4" s="79"/>
      <x:c r="AA4" s="79"/>
      <x:c r="AB4" s="79"/>
      <x:c r="AC4" s="79"/>
      <x:c r="AD4" s="79"/>
      <x:c r="AE4" s="79"/>
      <x:c r="AF4" s="79"/>
      <x:c r="AG4" s="80"/>
      <x:c r="AH4" s="78" t="s">
        <x:v>23</x:v>
      </x:c>
      <x:c r="AI4" s="79"/>
      <x:c r="AJ4" s="79"/>
      <x:c r="AK4" s="79"/>
      <x:c r="AL4" s="79"/>
      <x:c r="AM4" s="79"/>
      <x:c r="AN4" s="79"/>
      <x:c r="AO4" s="79"/>
      <x:c r="AP4" s="79"/>
      <x:c r="AQ4" s="80"/>
      <x:c r="AR4" s="78" t="s">
        <x:v>24</x:v>
      </x:c>
      <x:c r="AS4" s="79"/>
      <x:c r="AT4" s="79"/>
      <x:c r="AU4" s="79"/>
      <x:c r="AV4" s="79"/>
      <x:c r="AW4" s="79"/>
      <x:c r="AX4" s="79"/>
      <x:c r="AY4" s="79"/>
      <x:c r="AZ4" s="79"/>
      <x:c r="BA4" s="80"/>
      <x:c r="BB4" s="78" t="s">
        <x:v>25</x:v>
      </x:c>
      <x:c r="BC4" s="79"/>
      <x:c r="BD4" s="79"/>
      <x:c r="BE4" s="79"/>
      <x:c r="BF4" s="79"/>
      <x:c r="BG4" s="79"/>
      <x:c r="BH4" s="79"/>
      <x:c r="BI4" s="79"/>
      <x:c r="BJ4" s="79"/>
      <x:c r="BK4" s="80"/>
      <x:c r="BL4" s="78" t="s">
        <x:v>26</x:v>
      </x:c>
      <x:c r="BM4" s="79"/>
      <x:c r="BN4" s="79"/>
      <x:c r="BO4" s="79"/>
      <x:c r="BP4" s="79"/>
      <x:c r="BQ4" s="79"/>
      <x:c r="BR4" s="79"/>
      <x:c r="BS4" s="79"/>
      <x:c r="BT4" s="79"/>
      <x:c r="BU4" s="80"/>
    </x:row>
    <x:row r="5" ht="40.150001525878906" customHeight="1">
      <x:c r="A5" s="25" t="s">
        <x:v>3</x:v>
      </x:c>
      <x:c r="B5" s="26" t="s">
        <x:v>27</x:v>
      </x:c>
      <x:c r="C5" s="27">
        <x:v>2.5</x:v>
      </x:c>
      <x:c r="D5" s="53"/>
      <x:c r="E5" s="54"/>
      <x:c r="F5" s="55"/>
      <x:c r="G5" s="54"/>
      <x:c r="H5" s="55"/>
      <x:c r="I5" s="28"/>
      <x:c r="J5" s="29"/>
      <x:c r="K5" s="28"/>
      <x:c r="L5" s="29"/>
      <x:c r="M5" s="28"/>
      <x:c r="N5" s="48"/>
      <x:c r="O5" s="28"/>
      <x:c r="P5" s="29"/>
      <x:c r="Q5" s="28"/>
      <x:c r="R5" s="29"/>
      <x:c r="S5" s="28"/>
      <x:c r="T5" s="29"/>
      <x:c r="U5" s="28"/>
      <x:c r="V5" s="29"/>
      <x:c r="W5" s="30"/>
      <x:c r="X5" s="31"/>
      <x:c r="Y5" s="32"/>
      <x:c r="Z5" s="33"/>
      <x:c r="AA5" s="32"/>
      <x:c r="AB5" s="33"/>
      <x:c r="AC5" s="28"/>
      <x:c r="AD5" s="29"/>
      <x:c r="AE5" s="28"/>
      <x:c r="AF5" s="29"/>
      <x:c r="AG5" s="28"/>
      <x:c r="AH5" s="31"/>
      <x:c r="AI5" s="32"/>
      <x:c r="AJ5" s="33"/>
      <x:c r="AK5" s="32"/>
      <x:c r="AL5" s="33"/>
      <x:c r="AM5" s="28"/>
      <x:c r="AN5" s="29"/>
      <x:c r="AO5" s="28"/>
      <x:c r="AP5" s="29"/>
      <x:c r="AQ5" s="28"/>
      <x:c r="AR5" s="31"/>
      <x:c r="AS5" s="32"/>
      <x:c r="AT5" s="33"/>
      <x:c r="AU5" s="32"/>
      <x:c r="AV5" s="33"/>
      <x:c r="AW5" s="28"/>
      <x:c r="AX5" s="29"/>
      <x:c r="AY5" s="28"/>
      <x:c r="AZ5" s="29"/>
      <x:c r="BA5" s="28"/>
      <x:c r="BB5" s="31"/>
      <x:c r="BC5" s="32"/>
      <x:c r="BD5" s="33"/>
      <x:c r="BE5" s="32"/>
      <x:c r="BF5" s="33"/>
      <x:c r="BG5" s="28"/>
      <x:c r="BH5" s="29"/>
      <x:c r="BI5" s="28"/>
      <x:c r="BJ5" s="29"/>
      <x:c r="BK5" s="28"/>
      <x:c r="BL5" s="31"/>
      <x:c r="BM5" s="32"/>
      <x:c r="BN5" s="33"/>
      <x:c r="BO5" s="32"/>
      <x:c r="BP5" s="33"/>
      <x:c r="BQ5" s="28"/>
      <x:c r="BR5" s="29"/>
      <x:c r="BS5" s="28"/>
      <x:c r="BT5" s="29"/>
      <x:c r="BU5" s="30"/>
    </x:row>
    <x:row r="6" ht="40.150001525878906" customHeight="1">
      <x:c r="A6" s="34"/>
      <x:c r="B6" s="26" t="s">
        <x:v>5</x:v>
      </x:c>
      <x:c r="C6" s="27">
        <x:v>22.5</x:v>
      </x:c>
      <x:c r="D6" s="35"/>
      <x:c r="E6" s="36"/>
      <x:c r="F6" s="37"/>
      <x:c r="G6" s="36"/>
      <x:c r="H6" s="37"/>
      <x:c r="I6" s="56"/>
      <x:c r="J6" s="57"/>
      <x:c r="K6" s="58"/>
      <x:c r="L6" s="57"/>
      <x:c r="M6" s="58"/>
      <x:c r="N6" s="59"/>
      <x:c r="O6" s="58"/>
      <x:c r="P6" s="57"/>
      <x:c r="Q6" s="58"/>
      <x:c r="R6" s="57"/>
      <x:c r="S6" s="58"/>
      <x:c r="T6" s="57"/>
      <x:c r="U6" s="58"/>
      <x:c r="V6" s="57"/>
      <x:c r="W6" s="60"/>
      <x:c r="X6" s="59"/>
      <x:c r="Y6" s="56"/>
      <x:c r="Z6" s="61"/>
      <x:c r="AA6" s="56"/>
      <x:c r="AB6" s="61"/>
      <x:c r="AC6" s="56"/>
      <x:c r="AD6" s="57"/>
      <x:c r="AE6" s="58"/>
      <x:c r="AF6" s="57"/>
      <x:c r="AG6" s="58"/>
      <x:c r="AH6" s="59"/>
      <x:c r="AI6" s="56"/>
      <x:c r="AJ6" s="61"/>
      <x:c r="AK6" s="56"/>
      <x:c r="AL6" s="61"/>
      <x:c r="AM6" s="56"/>
      <x:c r="AN6" s="57"/>
      <x:c r="AO6" s="58"/>
      <x:c r="AP6" s="57"/>
      <x:c r="AQ6" s="58"/>
      <x:c r="AR6" s="59"/>
      <x:c r="AS6" s="56"/>
      <x:c r="AT6" s="61"/>
      <x:c r="AU6" s="56"/>
      <x:c r="AV6" s="61"/>
      <x:c r="AW6" s="56"/>
      <x:c r="AX6" s="57"/>
      <x:c r="AY6" s="58"/>
      <x:c r="AZ6" s="57"/>
      <x:c r="BA6" s="58"/>
      <x:c r="BB6" s="35"/>
      <x:c r="BC6" s="36"/>
      <x:c r="BD6" s="37"/>
      <x:c r="BE6" s="36"/>
      <x:c r="BF6" s="37"/>
      <x:c r="BG6" s="36"/>
      <x:c r="BH6" s="38"/>
      <x:c r="BI6" s="24"/>
      <x:c r="BJ6" s="38"/>
      <x:c r="BK6" s="24"/>
      <x:c r="BL6" s="35"/>
      <x:c r="BM6" s="36"/>
      <x:c r="BN6" s="37"/>
      <x:c r="BO6" s="36"/>
      <x:c r="BP6" s="37"/>
      <x:c r="BQ6" s="36"/>
      <x:c r="BR6" s="38"/>
      <x:c r="BS6" s="24"/>
      <x:c r="BT6" s="38"/>
      <x:c r="BU6" s="39"/>
    </x:row>
    <x:row r="7" ht="40.150001525878906" customHeight="1">
      <x:c r="A7" s="24"/>
      <x:c r="B7" s="26" t="s">
        <x:v>6</x:v>
      </x:c>
      <x:c r="C7" s="27">
        <x:v>3</x:v>
      </x:c>
      <x:c r="D7" s="35"/>
      <x:c r="E7" s="24"/>
      <x:c r="F7" s="38"/>
      <x:c r="G7" s="24"/>
      <x:c r="H7" s="38"/>
      <x:c r="I7" s="24"/>
      <x:c r="J7" s="38"/>
      <x:c r="K7" s="24"/>
      <x:c r="L7" s="38"/>
      <x:c r="M7" s="24"/>
      <x:c r="N7" s="35"/>
      <x:c r="O7" s="24"/>
      <x:c r="P7" s="38"/>
      <x:c r="Q7" s="24"/>
      <x:c r="R7" s="38"/>
      <x:c r="S7" s="24"/>
      <x:c r="T7" s="38"/>
      <x:c r="U7" s="24"/>
      <x:c r="V7" s="38"/>
      <x:c r="W7" s="39"/>
      <x:c r="X7" s="35"/>
      <x:c r="Y7" s="24"/>
      <x:c r="Z7" s="38"/>
      <x:c r="AA7" s="24"/>
      <x:c r="AB7" s="38"/>
      <x:c r="AC7" s="24"/>
      <x:c r="AD7" s="38"/>
      <x:c r="AE7" s="24"/>
      <x:c r="AF7" s="38"/>
      <x:c r="AG7" s="24"/>
      <x:c r="AH7" s="35"/>
      <x:c r="AI7" s="24"/>
      <x:c r="AJ7" s="38"/>
      <x:c r="AK7" s="24"/>
      <x:c r="AL7" s="38"/>
      <x:c r="AM7" s="24"/>
      <x:c r="AN7" s="38"/>
      <x:c r="AO7" s="24"/>
      <x:c r="AP7" s="38"/>
      <x:c r="AQ7" s="24"/>
      <x:c r="AR7" s="35"/>
      <x:c r="AS7" s="24"/>
      <x:c r="AT7" s="38"/>
      <x:c r="AU7" s="24"/>
      <x:c r="AV7" s="38"/>
      <x:c r="AW7" s="24"/>
      <x:c r="AX7" s="38"/>
      <x:c r="AY7" s="24"/>
      <x:c r="AZ7" s="38"/>
      <x:c r="BA7" s="24"/>
      <x:c r="BB7" s="59"/>
      <x:c r="BC7" s="58"/>
      <x:c r="BD7" s="57"/>
      <x:c r="BE7" s="58"/>
      <x:c r="BF7" s="57"/>
      <x:c r="BG7" s="58"/>
      <x:c r="BH7" s="38"/>
      <x:c r="BI7" s="24"/>
      <x:c r="BJ7" s="38"/>
      <x:c r="BK7" s="24"/>
      <x:c r="BL7" s="35"/>
      <x:c r="BM7" s="24"/>
      <x:c r="BN7" s="38"/>
      <x:c r="BO7" s="24"/>
      <x:c r="BP7" s="38"/>
      <x:c r="BQ7" s="24"/>
      <x:c r="BR7" s="38"/>
      <x:c r="BS7" s="24"/>
      <x:c r="BT7" s="38"/>
      <x:c r="BU7" s="39"/>
    </x:row>
    <x:row r="8" ht="40.150001525878906" customHeight="1">
      <x:c r="A8" s="24"/>
      <x:c r="B8" s="26" t="s">
        <x:v>7</x:v>
      </x:c>
      <x:c r="C8" s="27">
        <x:v>1</x:v>
      </x:c>
      <x:c r="D8" s="40"/>
      <x:c r="E8" s="41"/>
      <x:c r="F8" s="42"/>
      <x:c r="G8" s="41"/>
      <x:c r="H8" s="42"/>
      <x:c r="I8" s="41"/>
      <x:c r="J8" s="42"/>
      <x:c r="K8" s="41"/>
      <x:c r="L8" s="42"/>
      <x:c r="M8" s="41"/>
      <x:c r="N8" s="43"/>
      <x:c r="O8" s="44"/>
      <x:c r="P8" s="45"/>
      <x:c r="Q8" s="41"/>
      <x:c r="R8" s="42"/>
      <x:c r="S8" s="41"/>
      <x:c r="T8" s="42"/>
      <x:c r="U8" s="41"/>
      <x:c r="V8" s="42"/>
      <x:c r="W8" s="46"/>
      <x:c r="X8" s="40"/>
      <x:c r="Y8" s="41"/>
      <x:c r="Z8" s="42"/>
      <x:c r="AA8" s="41"/>
      <x:c r="AB8" s="42"/>
      <x:c r="AC8" s="41"/>
      <x:c r="AD8" s="42"/>
      <x:c r="AE8" s="41"/>
      <x:c r="AF8" s="42"/>
      <x:c r="AG8" s="41"/>
      <x:c r="AH8" s="40"/>
      <x:c r="AI8" s="41"/>
      <x:c r="AJ8" s="42"/>
      <x:c r="AK8" s="41"/>
      <x:c r="AL8" s="42"/>
      <x:c r="AM8" s="41"/>
      <x:c r="AN8" s="42"/>
      <x:c r="AO8" s="41"/>
      <x:c r="AP8" s="42"/>
      <x:c r="AQ8" s="41"/>
      <x:c r="AR8" s="40"/>
      <x:c r="AS8" s="41"/>
      <x:c r="AT8" s="42"/>
      <x:c r="AU8" s="41"/>
      <x:c r="AV8" s="42"/>
      <x:c r="AW8" s="41"/>
      <x:c r="AX8" s="42"/>
      <x:c r="AY8" s="41"/>
      <x:c r="AZ8" s="42"/>
      <x:c r="BA8" s="41"/>
      <x:c r="BB8" s="40"/>
      <x:c r="BC8" s="41"/>
      <x:c r="BD8" s="42"/>
      <x:c r="BE8" s="41"/>
      <x:c r="BF8" s="42"/>
      <x:c r="BG8" s="41"/>
      <x:c r="BH8" s="62"/>
      <x:c r="BI8" s="63"/>
      <x:c r="BJ8" s="42"/>
      <x:c r="BK8" s="41"/>
      <x:c r="BL8" s="40"/>
      <x:c r="BM8" s="41"/>
      <x:c r="BN8" s="42"/>
      <x:c r="BO8" s="41"/>
      <x:c r="BP8" s="42"/>
      <x:c r="BQ8" s="41"/>
      <x:c r="BR8" s="42"/>
      <x:c r="BS8" s="41"/>
      <x:c r="BT8" s="42"/>
      <x:c r="BU8" s="46"/>
    </x:row>
    <x:row r="9" ht="12.75" customHeight="1">
      <x:c r="A9" s="22"/>
      <x:c r="B9" s="23"/>
      <x:c r="C9" s="47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  <x:c r="BE9" s="23"/>
      <x:c r="BF9" s="23"/>
      <x:c r="BG9" s="23"/>
      <x:c r="BH9" s="23"/>
      <x:c r="BI9" s="23"/>
      <x:c r="BJ9" s="23"/>
      <x:c r="BK9" s="23"/>
      <x:c r="BL9" s="23"/>
      <x:c r="BM9" s="23"/>
      <x:c r="BN9" s="23"/>
      <x:c r="BO9" s="23"/>
      <x:c r="BP9" s="23"/>
      <x:c r="BQ9" s="23"/>
      <x:c r="BR9" s="23"/>
      <x:c r="BS9" s="23"/>
      <x:c r="BT9" s="23"/>
      <x:c r="BU9" s="23"/>
    </x:row>
    <x:row r="10" ht="12.75" customHeight="1">
      <x:c r="A10" s="22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  <x:c r="BE10" s="23"/>
      <x:c r="BF10" s="23"/>
      <x:c r="BG10" s="23"/>
      <x:c r="BH10" s="23"/>
      <x:c r="BI10" s="23"/>
      <x:c r="BJ10" s="23"/>
      <x:c r="BK10" s="23"/>
      <x:c r="BL10" s="23"/>
      <x:c r="BM10" s="23"/>
      <x:c r="BN10" s="23"/>
      <x:c r="BO10" s="23"/>
      <x:c r="BP10" s="23"/>
      <x:c r="BQ10" s="23"/>
      <x:c r="BR10" s="23"/>
      <x:c r="BS10" s="23"/>
      <x:c r="BT10" s="23"/>
      <x:c r="BU10" s="23"/>
    </x:row>
    <x:row r="11" ht="12.75" customHeight="1">
      <x:c r="A11" s="22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  <x:c r="BE11" s="23"/>
      <x:c r="BF11" s="23"/>
      <x:c r="BG11" s="23"/>
      <x:c r="BH11" s="23"/>
      <x:c r="BI11" s="23"/>
      <x:c r="BJ11" s="23"/>
      <x:c r="BK11" s="23"/>
      <x:c r="BL11" s="23"/>
      <x:c r="BM11" s="23"/>
      <x:c r="BN11" s="23"/>
      <x:c r="BO11" s="23"/>
      <x:c r="BP11" s="23"/>
      <x:c r="BQ11" s="23"/>
      <x:c r="BR11" s="23"/>
      <x:c r="BS11" s="23"/>
      <x:c r="BT11" s="23"/>
      <x:c r="BU11" s="23"/>
    </x:row>
    <x:row r="12" ht="12.75" customHeight="1">
      <x:c r="A12" s="22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  <x:c r="BE12" s="23"/>
      <x:c r="BF12" s="23"/>
      <x:c r="BG12" s="23"/>
      <x:c r="BH12" s="23"/>
      <x:c r="BI12" s="23"/>
      <x:c r="BJ12" s="23"/>
      <x:c r="BK12" s="23"/>
      <x:c r="BL12" s="23"/>
      <x:c r="BM12" s="23"/>
      <x:c r="BN12" s="23"/>
      <x:c r="BO12" s="23"/>
      <x:c r="BP12" s="23"/>
      <x:c r="BQ12" s="23"/>
      <x:c r="BR12" s="23"/>
      <x:c r="BS12" s="23"/>
      <x:c r="BT12" s="23"/>
      <x:c r="BU12" s="23"/>
    </x:row>
    <x:row r="13" ht="12.75" customHeight="1">
      <x:c r="A13" s="22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</x:row>
    <x:row r="14" ht="27.600000381469727" customHeight="1">
      <x:c r="A14" s="73" t="s">
        <x:v>9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  <x:c r="Q14" s="74"/>
      <x:c r="R14" s="74"/>
      <x:c r="S14" s="74"/>
      <x:c r="T14" s="74"/>
      <x:c r="U14" s="74"/>
      <x:c r="V14" s="74"/>
      <x:c r="W14" s="74"/>
      <x:c r="X14" s="74"/>
      <x:c r="Y14" s="74"/>
      <x:c r="Z14" s="74"/>
      <x:c r="AA14" s="74"/>
      <x:c r="AB14" s="74"/>
      <x:c r="AC14" s="74"/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74"/>
      <x:c r="AO14" s="74"/>
      <x:c r="AP14" s="74"/>
      <x:c r="AQ14" s="74"/>
      <x:c r="AR14" s="74"/>
      <x:c r="AS14" s="74"/>
      <x:c r="AT14" s="74"/>
      <x:c r="AU14" s="74"/>
      <x:c r="AV14" s="74"/>
      <x:c r="AW14" s="74"/>
      <x:c r="AX14" s="74"/>
      <x:c r="AY14" s="74"/>
      <x:c r="AZ14" s="74"/>
      <x:c r="BA14" s="74"/>
      <x:c r="BB14" s="74"/>
      <x:c r="BC14" s="74"/>
      <x:c r="BD14" s="74"/>
      <x:c r="BE14" s="74"/>
      <x:c r="BF14" s="74"/>
      <x:c r="BG14" s="74"/>
      <x:c r="BH14" s="74"/>
      <x:c r="BI14" s="74"/>
      <x:c r="BJ14" s="74"/>
      <x:c r="BK14" s="74"/>
      <x:c r="BL14" s="74"/>
      <x:c r="BM14" s="74"/>
      <x:c r="BN14" s="74"/>
      <x:c r="BO14" s="74"/>
      <x:c r="BP14" s="74"/>
      <x:c r="BQ14" s="74"/>
      <x:c r="BR14" s="74"/>
      <x:c r="BS14" s="74"/>
      <x:c r="BT14" s="74"/>
      <x:c r="BU14" s="74"/>
    </x:row>
    <x:row r="15" ht="27.600000381469727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  <x:c r="AA15" s="21"/>
      <x:c r="AB15" s="21"/>
      <x:c r="AC15" s="21"/>
      <x:c r="AD15" s="21"/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s="21"/>
      <x:c r="AX15" s="21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s="21"/>
      <x:c r="BI15" s="21"/>
      <x:c r="BJ15" s="21"/>
      <x:c r="BK15" s="21"/>
      <x:c r="BL15" s="21"/>
      <x:c r="BM15" s="21"/>
      <x:c r="BN15" s="21"/>
      <x:c r="BO15" s="21"/>
      <x:c r="BP15" s="21"/>
      <x:c r="BQ15" s="21"/>
      <x:c r="BR15" s="21"/>
      <x:c r="BS15" s="21"/>
      <x:c r="BT15" s="21"/>
      <x:c r="BU15" s="21"/>
    </x:row>
    <x:row r="16" ht="13.5" customHeight="1">
      <x:c r="A16" s="22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</x:row>
    <x:row r="17" ht="21.75" customHeight="1">
      <x:c r="A17" s="52" t="s">
        <x:v>19</x:v>
      </x:c>
      <x:c r="B17" s="1"/>
      <x:c r="C17" s="24"/>
      <x:c r="D17" s="75" t="s">
        <x:v>20</x:v>
      </x:c>
      <x:c r="E17" s="76"/>
      <x:c r="F17" s="76"/>
      <x:c r="G17" s="76"/>
      <x:c r="H17" s="76"/>
      <x:c r="I17" s="76"/>
      <x:c r="J17" s="76"/>
      <x:c r="K17" s="76"/>
      <x:c r="L17" s="76"/>
      <x:c r="M17" s="77"/>
      <x:c r="N17" s="75" t="s">
        <x:v>21</x:v>
      </x:c>
      <x:c r="O17" s="76"/>
      <x:c r="P17" s="76"/>
      <x:c r="Q17" s="76"/>
      <x:c r="R17" s="76"/>
      <x:c r="S17" s="76"/>
      <x:c r="T17" s="76"/>
      <x:c r="U17" s="76"/>
      <x:c r="V17" s="76"/>
      <x:c r="W17" s="77"/>
      <x:c r="X17" s="75" t="s">
        <x:v>22</x:v>
      </x:c>
      <x:c r="Y17" s="76"/>
      <x:c r="Z17" s="76"/>
      <x:c r="AA17" s="76"/>
      <x:c r="AB17" s="76"/>
      <x:c r="AC17" s="76"/>
      <x:c r="AD17" s="76"/>
      <x:c r="AE17" s="76"/>
      <x:c r="AF17" s="76"/>
      <x:c r="AG17" s="77"/>
      <x:c r="AH17" s="75" t="s">
        <x:v>23</x:v>
      </x:c>
      <x:c r="AI17" s="76"/>
      <x:c r="AJ17" s="76"/>
      <x:c r="AK17" s="76"/>
      <x:c r="AL17" s="76"/>
      <x:c r="AM17" s="76"/>
      <x:c r="AN17" s="76"/>
      <x:c r="AO17" s="76"/>
      <x:c r="AP17" s="76"/>
      <x:c r="AQ17" s="77"/>
      <x:c r="AR17" s="75" t="s">
        <x:v>24</x:v>
      </x:c>
      <x:c r="AS17" s="76"/>
      <x:c r="AT17" s="76"/>
      <x:c r="AU17" s="76"/>
      <x:c r="AV17" s="76"/>
      <x:c r="AW17" s="76"/>
      <x:c r="AX17" s="76"/>
      <x:c r="AY17" s="76"/>
      <x:c r="AZ17" s="76"/>
      <x:c r="BA17" s="77"/>
      <x:c r="BB17" s="75" t="s">
        <x:v>25</x:v>
      </x:c>
      <x:c r="BC17" s="76"/>
      <x:c r="BD17" s="76"/>
      <x:c r="BE17" s="76"/>
      <x:c r="BF17" s="76"/>
      <x:c r="BG17" s="76"/>
      <x:c r="BH17" s="76"/>
      <x:c r="BI17" s="76"/>
      <x:c r="BJ17" s="76"/>
      <x:c r="BK17" s="77"/>
      <x:c r="BL17" s="75" t="s">
        <x:v>26</x:v>
      </x:c>
      <x:c r="BM17" s="76"/>
      <x:c r="BN17" s="76"/>
      <x:c r="BO17" s="76"/>
      <x:c r="BP17" s="76"/>
      <x:c r="BQ17" s="76"/>
      <x:c r="BR17" s="76"/>
      <x:c r="BS17" s="76"/>
      <x:c r="BT17" s="76"/>
      <x:c r="BU17" s="77"/>
    </x:row>
    <x:row r="18" ht="49.5" customHeight="1">
      <x:c r="A18" s="10" t="s">
        <x:v>11</x:v>
      </x:c>
      <x:c r="B18" s="17" t="s">
        <x:v>12</x:v>
      </x:c>
      <x:c r="C18" s="15">
        <x:v>3</x:v>
      </x:c>
      <x:c r="D18" s="84"/>
      <x:c r="E18" s="85"/>
      <x:c r="F18" s="86"/>
      <x:c r="G18" s="85"/>
      <x:c r="H18" s="86"/>
      <x:c r="I18" s="87"/>
      <x:c r="J18" s="88"/>
      <x:c r="K18" s="87"/>
      <x:c r="L18" s="88"/>
      <x:c r="M18" s="87"/>
      <x:c r="N18" s="89"/>
      <x:c r="O18" s="87"/>
      <x:c r="P18" s="88"/>
      <x:c r="Q18" s="87"/>
      <x:c r="R18" s="88"/>
      <x:c r="S18" s="87"/>
      <x:c r="T18" s="88"/>
      <x:c r="U18" s="87"/>
      <x:c r="V18" s="88"/>
      <x:c r="W18" s="90"/>
      <x:c r="X18" s="84"/>
      <x:c r="Y18" s="85"/>
      <x:c r="Z18" s="86"/>
      <x:c r="AA18" s="85"/>
      <x:c r="AB18" s="86"/>
      <x:c r="AC18" s="87"/>
      <x:c r="AD18" s="88"/>
      <x:c r="AE18" s="87"/>
      <x:c r="AF18" s="88"/>
      <x:c r="AG18" s="87"/>
      <x:c r="AH18" s="84"/>
      <x:c r="AI18" s="85"/>
      <x:c r="AJ18" s="86"/>
      <x:c r="AK18" s="85"/>
      <x:c r="AL18" s="86"/>
      <x:c r="AM18" s="87"/>
      <x:c r="AN18" s="88"/>
      <x:c r="AO18" s="87"/>
      <x:c r="AP18" s="88"/>
      <x:c r="AQ18" s="87"/>
      <x:c r="AR18" s="84"/>
      <x:c r="AS18" s="85"/>
      <x:c r="AT18" s="86"/>
      <x:c r="AU18" s="85"/>
      <x:c r="AV18" s="86"/>
      <x:c r="AW18" s="87"/>
      <x:c r="AX18" s="88"/>
      <x:c r="AY18" s="87"/>
      <x:c r="AZ18" s="88"/>
      <x:c r="BA18" s="87"/>
      <x:c r="BB18" s="84"/>
      <x:c r="BC18" s="85"/>
      <x:c r="BD18" s="86"/>
      <x:c r="BE18" s="85"/>
      <x:c r="BF18" s="86"/>
      <x:c r="BG18" s="87"/>
      <x:c r="BH18" s="88"/>
      <x:c r="BI18" s="87"/>
      <x:c r="BJ18" s="88"/>
      <x:c r="BK18" s="87"/>
      <x:c r="BL18" s="84"/>
      <x:c r="BM18" s="85"/>
      <x:c r="BN18" s="86"/>
      <x:c r="BO18" s="85"/>
      <x:c r="BP18" s="86"/>
      <x:c r="BQ18" s="87"/>
      <x:c r="BR18" s="88"/>
      <x:c r="BS18" s="87"/>
      <x:c r="BT18" s="88"/>
      <x:c r="BU18" s="90"/>
    </x:row>
    <x:row r="19" ht="40.150001525878906" customHeight="1">
      <x:c r="A19" s="16"/>
      <x:c r="B19" s="17" t="s">
        <x:v>13</x:v>
      </x:c>
      <x:c r="C19" s="15">
        <x:v>10.5</x:v>
      </x:c>
      <x:c r="D19" s="91"/>
      <x:c r="E19" s="92"/>
      <x:c r="F19" s="93"/>
      <x:c r="G19" s="92"/>
      <x:c r="H19" s="93"/>
      <x:c r="I19" s="92"/>
      <x:c r="J19" s="94"/>
      <x:c r="K19" s="95"/>
      <x:c r="L19" s="94"/>
      <x:c r="M19" s="95"/>
      <x:c r="N19" s="91"/>
      <x:c r="O19" s="95"/>
      <x:c r="P19" s="94"/>
      <x:c r="Q19" s="95"/>
      <x:c r="R19" s="94"/>
      <x:c r="S19" s="95"/>
      <x:c r="T19" s="94"/>
      <x:c r="U19" s="95"/>
      <x:c r="V19" s="94"/>
      <x:c r="W19" s="96"/>
      <x:c r="X19" s="91"/>
      <x:c r="Y19" s="92"/>
      <x:c r="Z19" s="93"/>
      <x:c r="AA19" s="92"/>
      <x:c r="AB19" s="93"/>
      <x:c r="AC19" s="92"/>
      <x:c r="AD19" s="94"/>
      <x:c r="AE19" s="95"/>
      <x:c r="AF19" s="94"/>
      <x:c r="AG19" s="95"/>
      <x:c r="AH19" s="91"/>
      <x:c r="AI19" s="92"/>
      <x:c r="AJ19" s="93"/>
      <x:c r="AK19" s="92"/>
      <x:c r="AL19" s="93"/>
      <x:c r="AM19" s="92"/>
      <x:c r="AN19" s="94"/>
      <x:c r="AO19" s="95"/>
      <x:c r="AP19" s="94"/>
      <x:c r="AQ19" s="95"/>
      <x:c r="AR19" s="91"/>
      <x:c r="AS19" s="92"/>
      <x:c r="AT19" s="93"/>
      <x:c r="AU19" s="92"/>
      <x:c r="AV19" s="93"/>
      <x:c r="AW19" s="92"/>
      <x:c r="AX19" s="94"/>
      <x:c r="AY19" s="95"/>
      <x:c r="AZ19" s="94"/>
      <x:c r="BA19" s="95"/>
      <x:c r="BB19" s="91"/>
      <x:c r="BC19" s="92"/>
      <x:c r="BD19" s="93"/>
      <x:c r="BE19" s="92"/>
      <x:c r="BF19" s="93"/>
      <x:c r="BG19" s="92"/>
      <x:c r="BH19" s="94"/>
      <x:c r="BI19" s="95"/>
      <x:c r="BJ19" s="94"/>
      <x:c r="BK19" s="95"/>
      <x:c r="BL19" s="91"/>
      <x:c r="BM19" s="92"/>
      <x:c r="BN19" s="93"/>
      <x:c r="BO19" s="92"/>
      <x:c r="BP19" s="93"/>
      <x:c r="BQ19" s="92"/>
      <x:c r="BR19" s="94"/>
      <x:c r="BS19" s="95"/>
      <x:c r="BT19" s="94"/>
      <x:c r="BU19" s="96"/>
    </x:row>
    <x:row r="20" ht="51.75" customHeight="1">
      <x:c r="A20" s="10" t="s">
        <x:v>28</x:v>
      </x:c>
      <x:c r="B20" s="17" t="s">
        <x:v>12</x:v>
      </x:c>
      <x:c r="C20" s="15">
        <x:v>2.5</x:v>
      </x:c>
      <x:c r="D20" s="91"/>
      <x:c r="E20" s="95"/>
      <x:c r="F20" s="94"/>
      <x:c r="G20" s="95"/>
      <x:c r="H20" s="94"/>
      <x:c r="I20" s="95"/>
      <x:c r="J20" s="94"/>
      <x:c r="K20" s="95"/>
      <x:c r="L20" s="94"/>
      <x:c r="M20" s="95"/>
      <x:c r="N20" s="91"/>
      <x:c r="O20" s="95"/>
      <x:c r="P20" s="94"/>
      <x:c r="Q20" s="95"/>
      <x:c r="R20" s="94"/>
      <x:c r="S20" s="95"/>
      <x:c r="T20" s="94"/>
      <x:c r="U20" s="95"/>
      <x:c r="V20" s="94"/>
      <x:c r="W20" s="96"/>
      <x:c r="X20" s="91"/>
      <x:c r="Y20" s="95"/>
      <x:c r="Z20" s="94"/>
      <x:c r="AA20" s="95"/>
      <x:c r="AB20" s="94"/>
      <x:c r="AC20" s="95"/>
      <x:c r="AD20" s="94"/>
      <x:c r="AE20" s="95"/>
      <x:c r="AF20" s="94"/>
      <x:c r="AG20" s="95"/>
      <x:c r="AH20" s="91"/>
      <x:c r="AI20" s="95"/>
      <x:c r="AJ20" s="94"/>
      <x:c r="AK20" s="95"/>
      <x:c r="AL20" s="94"/>
      <x:c r="AM20" s="95"/>
      <x:c r="AN20" s="94"/>
      <x:c r="AO20" s="95"/>
      <x:c r="AP20" s="94"/>
      <x:c r="AQ20" s="95"/>
      <x:c r="AR20" s="91"/>
      <x:c r="AS20" s="95"/>
      <x:c r="AT20" s="94"/>
      <x:c r="AU20" s="95"/>
      <x:c r="AV20" s="94"/>
      <x:c r="AW20" s="95"/>
      <x:c r="AX20" s="94"/>
      <x:c r="AY20" s="95"/>
      <x:c r="AZ20" s="94"/>
      <x:c r="BA20" s="95"/>
      <x:c r="BB20" s="91"/>
      <x:c r="BC20" s="95"/>
      <x:c r="BD20" s="94"/>
      <x:c r="BE20" s="95"/>
      <x:c r="BF20" s="94"/>
      <x:c r="BG20" s="95"/>
      <x:c r="BH20" s="94"/>
      <x:c r="BI20" s="95"/>
      <x:c r="BJ20" s="94"/>
      <x:c r="BK20" s="95"/>
      <x:c r="BL20" s="91"/>
      <x:c r="BM20" s="95"/>
      <x:c r="BN20" s="94"/>
      <x:c r="BO20" s="95"/>
      <x:c r="BP20" s="94"/>
      <x:c r="BQ20" s="95"/>
      <x:c r="BR20" s="94"/>
      <x:c r="BS20" s="95"/>
      <x:c r="BT20" s="94"/>
      <x:c r="BU20" s="96"/>
    </x:row>
    <x:row r="21" ht="40.150001525878906" customHeight="1">
      <x:c r="A21" s="10"/>
      <x:c r="B21" s="17" t="s">
        <x:v>15</x:v>
      </x:c>
      <x:c r="C21" s="15">
        <x:v>15.5</x:v>
      </x:c>
      <x:c r="D21" s="91"/>
      <x:c r="E21" s="95"/>
      <x:c r="F21" s="94"/>
      <x:c r="G21" s="95"/>
      <x:c r="H21" s="94"/>
      <x:c r="I21" s="95"/>
      <x:c r="J21" s="94"/>
      <x:c r="K21" s="95"/>
      <x:c r="L21" s="94"/>
      <x:c r="M21" s="95"/>
      <x:c r="N21" s="91"/>
      <x:c r="O21" s="95"/>
      <x:c r="P21" s="94"/>
      <x:c r="Q21" s="95"/>
      <x:c r="R21" s="94"/>
      <x:c r="S21" s="95"/>
      <x:c r="T21" s="94"/>
      <x:c r="U21" s="95"/>
      <x:c r="V21" s="94"/>
      <x:c r="W21" s="96"/>
      <x:c r="X21" s="91"/>
      <x:c r="Y21" s="95"/>
      <x:c r="Z21" s="94"/>
      <x:c r="AA21" s="95"/>
      <x:c r="AB21" s="94"/>
      <x:c r="AC21" s="95"/>
      <x:c r="AD21" s="94"/>
      <x:c r="AE21" s="95"/>
      <x:c r="AF21" s="94"/>
      <x:c r="AG21" s="95"/>
      <x:c r="AH21" s="91"/>
      <x:c r="AI21" s="95"/>
      <x:c r="AJ21" s="94"/>
      <x:c r="AK21" s="95"/>
      <x:c r="AL21" s="94"/>
      <x:c r="AM21" s="95"/>
      <x:c r="AN21" s="94"/>
      <x:c r="AO21" s="95"/>
      <x:c r="AP21" s="94"/>
      <x:c r="AQ21" s="95"/>
      <x:c r="AR21" s="91"/>
      <x:c r="AS21" s="95"/>
      <x:c r="AT21" s="94"/>
      <x:c r="AU21" s="95"/>
      <x:c r="AV21" s="94"/>
      <x:c r="AW21" s="95"/>
      <x:c r="AX21" s="94"/>
      <x:c r="AY21" s="95"/>
      <x:c r="AZ21" s="94"/>
      <x:c r="BA21" s="95"/>
      <x:c r="BB21" s="91"/>
      <x:c r="BC21" s="95"/>
      <x:c r="BD21" s="94"/>
      <x:c r="BE21" s="95"/>
      <x:c r="BF21" s="94"/>
      <x:c r="BG21" s="95"/>
      <x:c r="BH21" s="94"/>
      <x:c r="BI21" s="95"/>
      <x:c r="BJ21" s="94"/>
      <x:c r="BK21" s="95"/>
      <x:c r="BL21" s="91"/>
      <x:c r="BM21" s="95"/>
      <x:c r="BN21" s="94"/>
      <x:c r="BO21" s="95"/>
      <x:c r="BP21" s="94"/>
      <x:c r="BQ21" s="95"/>
      <x:c r="BR21" s="94"/>
      <x:c r="BS21" s="95"/>
      <x:c r="BT21" s="94"/>
      <x:c r="BU21" s="96"/>
    </x:row>
    <x:row r="22" ht="40.150001525878906" customHeight="1">
      <x:c r="A22" s="10" t="s">
        <x:v>16</x:v>
      </x:c>
      <x:c r="B22" s="17" t="s">
        <x:v>17</x:v>
      </x:c>
      <x:c r="C22" s="15">
        <x:v>1.5</x:v>
      </x:c>
      <x:c r="D22" s="97"/>
      <x:c r="E22" s="98"/>
      <x:c r="F22" s="99"/>
      <x:c r="G22" s="98"/>
      <x:c r="H22" s="99"/>
      <x:c r="I22" s="98"/>
      <x:c r="J22" s="99"/>
      <x:c r="K22" s="98"/>
      <x:c r="L22" s="99"/>
      <x:c r="M22" s="98"/>
      <x:c r="N22" s="97"/>
      <x:c r="O22" s="98"/>
      <x:c r="P22" s="99"/>
      <x:c r="Q22" s="98"/>
      <x:c r="R22" s="99"/>
      <x:c r="S22" s="98"/>
      <x:c r="T22" s="99"/>
      <x:c r="U22" s="98"/>
      <x:c r="V22" s="99"/>
      <x:c r="W22" s="100"/>
      <x:c r="X22" s="97"/>
      <x:c r="Y22" s="98"/>
      <x:c r="Z22" s="99"/>
      <x:c r="AA22" s="98"/>
      <x:c r="AB22" s="99"/>
      <x:c r="AC22" s="98"/>
      <x:c r="AD22" s="99"/>
      <x:c r="AE22" s="98"/>
      <x:c r="AF22" s="99"/>
      <x:c r="AG22" s="98"/>
      <x:c r="AH22" s="97"/>
      <x:c r="AI22" s="98"/>
      <x:c r="AJ22" s="99"/>
      <x:c r="AK22" s="98"/>
      <x:c r="AL22" s="99"/>
      <x:c r="AM22" s="98"/>
      <x:c r="AN22" s="99"/>
      <x:c r="AO22" s="98"/>
      <x:c r="AP22" s="99"/>
      <x:c r="AQ22" s="98"/>
      <x:c r="AR22" s="97"/>
      <x:c r="AS22" s="98"/>
      <x:c r="AT22" s="99"/>
      <x:c r="AU22" s="98"/>
      <x:c r="AV22" s="99"/>
      <x:c r="AW22" s="98"/>
      <x:c r="AX22" s="99"/>
      <x:c r="AY22" s="98"/>
      <x:c r="AZ22" s="99"/>
      <x:c r="BA22" s="98"/>
      <x:c r="BB22" s="97"/>
      <x:c r="BC22" s="98"/>
      <x:c r="BD22" s="99"/>
      <x:c r="BE22" s="98"/>
      <x:c r="BF22" s="99"/>
      <x:c r="BG22" s="98"/>
      <x:c r="BH22" s="99"/>
      <x:c r="BI22" s="98"/>
      <x:c r="BJ22" s="99"/>
      <x:c r="BK22" s="98"/>
      <x:c r="BL22" s="97"/>
      <x:c r="BM22" s="98"/>
      <x:c r="BN22" s="99"/>
      <x:c r="BO22" s="98"/>
      <x:c r="BP22" s="99"/>
      <x:c r="BQ22" s="98"/>
      <x:c r="BR22" s="99"/>
      <x:c r="BS22" s="98"/>
      <x:c r="BT22" s="99"/>
      <x:c r="BU22" s="100"/>
    </x:row>
    <x:row r="25" ht="12.75" customHeight="1">
      <x:c r="A25" s="67" t="s">
        <x:v>29</x:v>
      </x:c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68"/>
      <x:c r="S25" s="68"/>
      <x:c r="T25" s="68"/>
      <x:c r="U25" s="68"/>
      <x:c r="V25" s="68"/>
      <x:c r="W25" s="68"/>
      <x:c r="X25" s="68"/>
      <x:c r="Y25" s="68"/>
      <x:c r="Z25" s="68"/>
      <x:c r="AA25" s="68"/>
      <x:c r="AB25" s="68"/>
      <x:c r="AC25" s="68"/>
      <x:c r="AD25" s="68"/>
      <x:c r="AE25" s="68"/>
      <x:c r="AF25" s="68"/>
      <x:c r="AG25" s="68"/>
      <x:c r="AH25" s="68"/>
      <x:c r="AI25" s="68"/>
      <x:c r="AJ25" s="68"/>
      <x:c r="AK25" s="68"/>
      <x:c r="AL25" s="68"/>
      <x:c r="AM25" s="68"/>
      <x:c r="AN25" s="68"/>
      <x:c r="AO25" s="68"/>
      <x:c r="AP25" s="68"/>
      <x:c r="AQ25" s="68"/>
      <x:c r="AR25" s="68"/>
      <x:c r="AS25" s="68"/>
      <x:c r="AT25" s="68"/>
      <x:c r="AU25" s="68"/>
      <x:c r="AV25" s="68"/>
      <x:c r="AW25" s="68"/>
      <x:c r="AX25" s="68"/>
      <x:c r="AY25" s="68"/>
      <x:c r="AZ25" s="68"/>
      <x:c r="BA25" s="68"/>
      <x:c r="BB25" s="68"/>
      <x:c r="BC25" s="68"/>
      <x:c r="BD25" s="68"/>
      <x:c r="BE25" s="68"/>
      <x:c r="BF25" s="68"/>
      <x:c r="BG25" s="68"/>
      <x:c r="BH25" s="68"/>
      <x:c r="BI25" s="68"/>
      <x:c r="BJ25" s="68"/>
      <x:c r="BK25" s="68"/>
      <x:c r="BL25" s="68"/>
      <x:c r="BM25" s="68"/>
      <x:c r="BN25" s="68"/>
      <x:c r="BO25" s="68"/>
      <x:c r="BP25" s="68"/>
      <x:c r="BQ25" s="68"/>
      <x:c r="BR25" s="68"/>
      <x:c r="BS25" s="68"/>
      <x:c r="BT25" s="68"/>
      <x:c r="BU25" s="68"/>
    </x:row>
    <x:row r="26" ht="12.75" customHeight="1">
      <x:c r="A26" s="64" t="s">
        <x:v>30</x:v>
      </x:c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  <x:c r="AA26" s="64"/>
      <x:c r="AB26" s="64"/>
      <x:c r="AC26" s="64"/>
      <x:c r="AD26" s="64"/>
      <x:c r="AE26" s="64"/>
      <x:c r="AF26" s="64"/>
      <x:c r="AG26" s="64"/>
      <x:c r="AH26" s="64"/>
      <x:c r="AI26" s="64"/>
      <x:c r="AJ26" s="64"/>
      <x:c r="AK26" s="64"/>
      <x:c r="AL26" s="64"/>
      <x:c r="AM26" s="64"/>
      <x:c r="AN26" s="64"/>
      <x:c r="AO26" s="64"/>
      <x:c r="AP26" s="64"/>
      <x:c r="AQ26" s="64"/>
      <x:c r="AR26" s="64"/>
      <x:c r="AS26" s="64"/>
      <x:c r="AT26" s="64"/>
      <x:c r="AU26" s="64"/>
      <x:c r="AV26" s="64"/>
      <x:c r="AW26" s="64"/>
      <x:c r="AX26" s="64"/>
      <x:c r="AY26" s="64"/>
      <x:c r="AZ26" s="64"/>
      <x:c r="BA26" s="64"/>
      <x:c r="BB26" s="64"/>
      <x:c r="BC26" s="64"/>
      <x:c r="BD26" s="64"/>
      <x:c r="BE26" s="64"/>
      <x:c r="BF26" s="64"/>
      <x:c r="BG26" s="64"/>
      <x:c r="BH26" s="64"/>
      <x:c r="BI26" s="64"/>
      <x:c r="BJ26" s="64"/>
      <x:c r="BK26" s="64"/>
      <x:c r="BL26" s="64"/>
      <x:c r="BM26" s="64"/>
      <x:c r="BN26" s="64"/>
      <x:c r="BO26" s="64"/>
      <x:c r="BP26" s="64"/>
      <x:c r="BQ26" s="64"/>
      <x:c r="BR26" s="64"/>
      <x:c r="BS26" s="64"/>
      <x:c r="BT26" s="64"/>
      <x:c r="BU26" s="64"/>
    </x:row>
    <x:row r="27" ht="12.75" customHeight="1">
      <x:c r="A27" s="65"/>
      <x:c r="B27" s="66"/>
      <x:c r="C27" s="65"/>
      <x:c r="D27" s="65"/>
      <x:c r="E27" s="65"/>
      <x:c r="F27" s="65"/>
      <x:c r="G27" s="65"/>
      <x:c r="H27" s="69"/>
      <x:c r="I27" s="69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4"/>
      <x:c r="AG27" s="64"/>
      <x:c r="AH27" s="64"/>
      <x:c r="AI27" s="64"/>
      <x:c r="AJ27" s="64"/>
      <x:c r="AK27" s="64"/>
      <x:c r="AL27" s="64"/>
      <x:c r="AM27" s="64"/>
      <x:c r="AN27" s="64"/>
      <x:c r="AO27" s="64"/>
      <x:c r="AP27" s="64"/>
      <x:c r="AQ27" s="64"/>
      <x:c r="AR27" s="64"/>
      <x:c r="AS27" s="64"/>
      <x:c r="AT27" s="64"/>
      <x:c r="AU27" s="64"/>
      <x:c r="AV27" s="64"/>
      <x:c r="AW27" s="64"/>
      <x:c r="AX27" s="64"/>
      <x:c r="AY27" s="64"/>
      <x:c r="AZ27" s="64"/>
      <x:c r="BA27" s="64"/>
      <x:c r="BB27" s="64"/>
      <x:c r="BC27" s="64"/>
      <x:c r="BD27" s="64"/>
      <x:c r="BE27" s="64"/>
      <x:c r="BF27" s="64"/>
      <x:c r="BG27" s="64"/>
      <x:c r="BH27" s="64"/>
      <x:c r="BI27" s="64"/>
      <x:c r="BJ27" s="64"/>
      <x:c r="BK27" s="64"/>
      <x:c r="BL27" s="64"/>
      <x:c r="BM27" s="64"/>
      <x:c r="BN27" s="64"/>
      <x:c r="BO27" s="64"/>
      <x:c r="BP27" s="64"/>
      <x:c r="BQ27" s="64"/>
      <x:c r="BR27" s="64"/>
      <x:c r="BS27" s="64"/>
      <x:c r="BT27" s="64"/>
      <x:c r="BU27" s="64"/>
    </x:row>
    <x:row r="28" ht="12.75" customHeight="1">
      <x:c r="A28" s="70" t="s">
        <x:v>31</x:v>
      </x:c>
      <x:c r="B28" s="70"/>
      <x:c r="C28" s="70"/>
      <x:c r="D28" s="70"/>
      <x:c r="E28" s="70"/>
      <x:c r="F28" s="70"/>
      <x:c r="G28" s="70"/>
      <x:c r="H28" s="70"/>
      <x:c r="I28" s="71"/>
      <x:c r="J28" s="71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  <x:c r="AA28" s="64"/>
      <x:c r="AB28" s="64"/>
      <x:c r="AC28" s="64"/>
      <x:c r="AD28" s="64"/>
      <x:c r="AE28" s="64"/>
      <x:c r="AF28" s="64"/>
      <x:c r="AG28" s="64"/>
      <x:c r="AH28" s="64"/>
      <x:c r="AI28" s="64"/>
      <x:c r="AJ28" s="64"/>
      <x:c r="AK28" s="64"/>
      <x:c r="AL28" s="64"/>
      <x:c r="AM28" s="64"/>
      <x:c r="AN28" s="64"/>
      <x:c r="AO28" s="64"/>
      <x:c r="AP28" s="64"/>
      <x:c r="AQ28" s="64"/>
      <x:c r="AR28" s="64"/>
      <x:c r="AS28" s="64"/>
      <x:c r="AT28" s="64"/>
      <x:c r="AU28" s="64"/>
      <x:c r="AV28" s="64"/>
      <x:c r="AW28" s="64"/>
      <x:c r="AX28" s="64"/>
      <x:c r="AY28" s="64"/>
      <x:c r="AZ28" s="64"/>
      <x:c r="BA28" s="64"/>
      <x:c r="BB28" s="64"/>
      <x:c r="BC28" s="64"/>
      <x:c r="BD28" s="64"/>
      <x:c r="BE28" s="64"/>
      <x:c r="BF28" s="64"/>
      <x:c r="BG28" s="64"/>
      <x:c r="BH28" s="64"/>
      <x:c r="BI28" s="64"/>
      <x:c r="BJ28" s="64"/>
      <x:c r="BK28" s="64"/>
      <x:c r="BL28" s="64"/>
      <x:c r="BM28" s="64"/>
      <x:c r="BN28" s="64"/>
      <x:c r="BO28" s="64"/>
      <x:c r="BP28" s="64"/>
      <x:c r="BQ28" s="64"/>
      <x:c r="BR28" s="64"/>
      <x:c r="BS28" s="64"/>
      <x:c r="BT28" s="64"/>
      <x:c r="BU28" s="64"/>
    </x:row>
    <x:row r="29" ht="12.75" customHeight="1">
      <x:c r="A29" s="72" t="s">
        <x:v>32</x:v>
      </x:c>
      <x:c r="B29" s="72"/>
      <x:c r="C29" s="72"/>
      <x:c r="D29" s="72"/>
      <x:c r="E29" s="72"/>
      <x:c r="F29" s="72"/>
      <x:c r="G29" s="72"/>
      <x:c r="H29" s="72"/>
      <x:c r="I29" s="71"/>
      <x:c r="J29" s="71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  <x:c r="AA29" s="64"/>
      <x:c r="AB29" s="64"/>
      <x:c r="AC29" s="64"/>
      <x:c r="AD29" s="64"/>
      <x:c r="AE29" s="64"/>
      <x:c r="AF29" s="64"/>
      <x:c r="AG29" s="64"/>
      <x:c r="AH29" s="64"/>
      <x:c r="AI29" s="64"/>
      <x:c r="AJ29" s="64"/>
      <x:c r="AK29" s="64"/>
      <x:c r="AL29" s="64"/>
      <x:c r="AM29" s="64"/>
      <x:c r="AN29" s="64"/>
      <x:c r="AO29" s="64"/>
      <x:c r="AP29" s="64"/>
      <x:c r="AQ29" s="64"/>
      <x:c r="AR29" s="64"/>
      <x:c r="AS29" s="64"/>
      <x:c r="AT29" s="64"/>
      <x:c r="AU29" s="64"/>
      <x:c r="AV29" s="64"/>
      <x:c r="AW29" s="64"/>
      <x:c r="AX29" s="64"/>
      <x:c r="AY29" s="64"/>
      <x:c r="AZ29" s="64"/>
      <x:c r="BA29" s="64"/>
      <x:c r="BB29" s="64"/>
      <x:c r="BC29" s="64"/>
      <x:c r="BD29" s="64"/>
      <x:c r="BE29" s="64"/>
      <x:c r="BF29" s="64"/>
      <x:c r="BG29" s="64"/>
      <x:c r="BH29" s="64"/>
      <x:c r="BI29" s="64"/>
      <x:c r="BJ29" s="64"/>
      <x:c r="BK29" s="64"/>
      <x:c r="BL29" s="64"/>
      <x:c r="BM29" s="64"/>
      <x:c r="BN29" s="64"/>
      <x:c r="BO29" s="64"/>
      <x:c r="BP29" s="64"/>
      <x:c r="BQ29" s="64"/>
      <x:c r="BR29" s="64"/>
      <x:c r="BS29" s="64"/>
      <x:c r="BT29" s="64"/>
      <x:c r="BU29" s="64"/>
    </x:row>
  </x:sheetData>
  <x:mergeCells>
    <x:mergeCell ref="A1:BU1"/>
    <x:mergeCell ref="AH17:AQ17"/>
    <x:mergeCell ref="BL4:BU4"/>
    <x:mergeCell ref="BB4:BK4"/>
    <x:mergeCell ref="AH4:AQ4"/>
    <x:mergeCell ref="AR17:BA17"/>
    <x:mergeCell ref="BL17:BU17"/>
    <x:mergeCell ref="BB17:BK17"/>
    <x:mergeCell ref="D4:M4"/>
    <x:mergeCell ref="N17:W17"/>
    <x:mergeCell ref="D17:M17"/>
    <x:mergeCell ref="X4:AG4"/>
    <x:mergeCell ref="AR4:BA4"/>
    <x:mergeCell ref="A14:BU14"/>
    <x:mergeCell ref="N4:W4"/>
    <x:mergeCell ref="X17:AG17"/>
    <x:mergeCell ref="A25:BU25"/>
    <x:mergeCell ref="H27:I27"/>
    <x:mergeCell ref="A28:H28"/>
    <x:mergeCell ref="I28:J29"/>
    <x:mergeCell ref="A29:H29"/>
  </x:mergeCells>
  <x:conditionalFormatting sqref="D18:BU22">
    <x:cfRule type="expression" dxfId="3" priority="2">
      <x:formula>AND(COLUMN()-COLUMN($F$8)+1&gt;SUM($E3:$E$8)*2,COLUMN()-COLUMN($F$8)+1&lt;=SUM($E$8:$E4)*2)</x:formula>
    </x:cfRule>
    <x:cfRule type="expression" dxfId="2" priority="1">
      <x:formula>AND(COLUMN()-COLUMN($D$18)+1&gt;SUM($C$17:$C17)*2,COLUMN()-COLUMN($D$18)+1&lt;=SUM($C$17:$C18)*2)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42" hidden="0" customWidth="1"/>
    <x:col min="3" max="3" width="8.5" hidden="0" customWidth="1"/>
    <x:col min="4" max="4" width="1.5703125" hidden="0" customWidth="1"/>
    <x:col min="5" max="5" width="1.5703125" hidden="0" customWidth="1"/>
    <x:col min="6" max="6" width="1.5703125" hidden="0" customWidth="1"/>
    <x:col min="7" max="7" width="1.5703125" hidden="0" customWidth="1"/>
    <x:col min="8" max="8" width="1.5703125" hidden="0" customWidth="1"/>
    <x:col min="9" max="9" width="1.5703125" hidden="0" customWidth="1"/>
    <x:col min="10" max="10" width="1.5703125" hidden="0" customWidth="1"/>
    <x:col min="11" max="11" width="1.5703125" hidden="0" customWidth="1"/>
    <x:col min="12" max="12" width="1.5703125" hidden="0" customWidth="1"/>
    <x:col min="13" max="13" width="1.5703125" hidden="0" customWidth="1"/>
    <x:col min="14" max="14" width="1.5703125" hidden="0" customWidth="1"/>
    <x:col min="15" max="15" width="1.5703125" hidden="0" customWidth="1"/>
    <x:col min="16" max="16" width="1.5703125" hidden="0" customWidth="1"/>
    <x:col min="17" max="17" width="1.5703125" hidden="0" customWidth="1"/>
    <x:col min="18" max="18" width="1.5703125" hidden="0" customWidth="1"/>
    <x:col min="19" max="19" width="1.5703125" hidden="0" customWidth="1"/>
    <x:col min="20" max="20" width="1.5703125" hidden="0" customWidth="1"/>
    <x:col min="21" max="21" width="1.5703125" hidden="0" customWidth="1"/>
    <x:col min="22" max="22" width="1.5703125" hidden="0" customWidth="1"/>
    <x:col min="23" max="23" width="1.5703125" hidden="0" customWidth="1"/>
    <x:col min="24" max="24" width="1.5703125" hidden="0" customWidth="1"/>
    <x:col min="25" max="25" width="1.5703125" hidden="0" customWidth="1"/>
    <x:col min="26" max="26" width="1.5703125" hidden="0" customWidth="1"/>
    <x:col min="27" max="27" width="1.5703125" hidden="0" customWidth="1"/>
    <x:col min="28" max="28" width="1.5703125" hidden="0" customWidth="1"/>
    <x:col min="29" max="29" width="1.5703125" hidden="0" customWidth="1"/>
    <x:col min="30" max="30" width="1.5703125" hidden="0" customWidth="1"/>
    <x:col min="31" max="31" width="1.5703125" hidden="0" customWidth="1"/>
    <x:col min="32" max="32" width="1.5703125" hidden="0" customWidth="1"/>
    <x:col min="33" max="33" width="1.5703125" hidden="0" customWidth="1"/>
    <x:col min="34" max="34" width="1.5703125" hidden="0" customWidth="1"/>
    <x:col min="35" max="35" width="1.5703125" hidden="0" customWidth="1"/>
    <x:col min="36" max="36" width="1.5703125" hidden="0" customWidth="1"/>
    <x:col min="37" max="37" width="1.5703125" hidden="0" customWidth="1"/>
    <x:col min="38" max="38" width="1.5703125" hidden="0" customWidth="1"/>
    <x:col min="39" max="39" width="1.5703125" hidden="0" customWidth="1"/>
    <x:col min="40" max="40" width="1.5703125" hidden="0" customWidth="1"/>
    <x:col min="41" max="41" width="1.5703125" hidden="0" customWidth="1"/>
    <x:col min="42" max="42" width="1.5703125" hidden="0" customWidth="1"/>
    <x:col min="43" max="43" width="1.5703125" hidden="0" customWidth="1"/>
    <x:col min="44" max="44" width="1.5703125" hidden="0" customWidth="1"/>
    <x:col min="45" max="45" width="1.5703125" hidden="0" customWidth="1"/>
    <x:col min="46" max="46" width="1.5703125" hidden="0" customWidth="1"/>
    <x:col min="47" max="47" width="1.5703125" hidden="0" customWidth="1"/>
    <x:col min="48" max="48" width="1.5703125" hidden="0" customWidth="1"/>
    <x:col min="49" max="49" width="1.5703125" hidden="0" customWidth="1"/>
    <x:col min="50" max="50" width="1.5703125" hidden="0" customWidth="1"/>
    <x:col min="51" max="51" width="1.5703125" hidden="0" customWidth="1"/>
    <x:col min="52" max="52" width="1.5703125" hidden="0" customWidth="1"/>
    <x:col min="53" max="53" width="1.5703125" hidden="0" customWidth="1"/>
    <x:col min="54" max="54" width="1.5703125" hidden="0" customWidth="1"/>
    <x:col min="55" max="55" width="1.5703125" hidden="0" customWidth="1"/>
    <x:col min="56" max="56" width="1.5703125" hidden="0" customWidth="1"/>
    <x:col min="57" max="57" width="1.5703125" hidden="0" customWidth="1"/>
    <x:col min="58" max="58" width="1.5703125" hidden="0" customWidth="1"/>
    <x:col min="59" max="59" width="1.5703125" hidden="0" customWidth="1"/>
    <x:col min="60" max="60" width="1.5703125" hidden="0" customWidth="1"/>
    <x:col min="61" max="61" width="1.5703125" hidden="0" customWidth="1"/>
    <x:col min="62" max="62" width="1.5703125" hidden="0" customWidth="1"/>
    <x:col min="63" max="63" width="1.5703125" hidden="0" customWidth="1"/>
    <x:col min="64" max="64" width="1.5703125" hidden="0" customWidth="1"/>
    <x:col min="65" max="65" width="1.5703125" hidden="0" customWidth="1"/>
    <x:col min="66" max="66" width="1.5703125" hidden="0" customWidth="1"/>
    <x:col min="67" max="67" width="1.5703125" hidden="0" customWidth="1"/>
    <x:col min="68" max="68" width="1.5703125" hidden="0" customWidth="1"/>
    <x:col min="69" max="69" width="1.5703125" hidden="0" customWidth="1"/>
    <x:col min="70" max="70" width="1.5703125" hidden="0" customWidth="1"/>
    <x:col min="71" max="71" width="1.5703125" hidden="0" customWidth="1"/>
    <x:col min="72" max="72" width="1.5703125" hidden="0" customWidth="1"/>
    <x:col min="73" max="73" width="1.5703125" hidden="0" customWidth="1"/>
  </x:cols>
  <x:sheetData>
    <x:row r="1" ht="27.600000381469727" customHeight="1">
      <x:c r="A1" s="491" t="str">
        <x:f>'Sans Montants'!A1</x:f>
        <x:v>CHANTIER : EPHAD RESIDENCE LES FLEURS DE LA LYS - LOT PEINTURE</x:v>
      </x:c>
      <x:c r="B1" s="491"/>
      <x:c r="C1" s="49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  <x:c r="AA1" s="181"/>
      <x:c r="AB1" s="181"/>
      <x:c r="AC1" s="181"/>
      <x:c r="AD1" s="181"/>
      <x:c r="AE1" s="181"/>
      <x:c r="AF1" s="181"/>
      <x:c r="AG1" s="181"/>
      <x:c r="AH1" s="181"/>
      <x:c r="AI1" s="181"/>
      <x:c r="AJ1" s="181"/>
      <x:c r="AK1" s="181"/>
      <x:c r="AL1" s="181"/>
      <x:c r="AM1" s="181"/>
      <x:c r="AN1" s="181"/>
      <x:c r="AO1" s="181"/>
      <x:c r="AP1" s="181"/>
      <x:c r="AQ1" s="181"/>
      <x:c r="AR1" s="181"/>
      <x:c r="AS1" s="181"/>
      <x:c r="AT1" s="181"/>
      <x:c r="AU1" s="181"/>
      <x:c r="AV1" s="181"/>
      <x:c r="AW1" s="181"/>
      <x:c r="AX1" s="181"/>
      <x:c r="AY1" s="181"/>
      <x:c r="AZ1" s="181"/>
      <x:c r="BA1" s="181"/>
      <x:c r="BB1" s="181"/>
      <x:c r="BC1" s="181"/>
      <x:c r="BD1" s="181"/>
      <x:c r="BE1" s="181"/>
      <x:c r="BF1" s="181"/>
      <x:c r="BG1" s="181"/>
      <x:c r="BH1" s="181"/>
      <x:c r="BI1" s="181"/>
      <x:c r="BJ1" s="181"/>
      <x:c r="BK1" s="181"/>
      <x:c r="BL1" s="181"/>
      <x:c r="BM1" s="181"/>
      <x:c r="BN1" s="181"/>
      <x:c r="BO1" s="181"/>
      <x:c r="BP1" s="181"/>
      <x:c r="BQ1" s="181"/>
      <x:c r="BR1" s="181"/>
      <x:c r="BS1" s="181"/>
      <x:c r="BT1" s="181"/>
      <x:c r="BU1" s="181"/>
    </x:row>
    <x:row r="2" ht="27.600000381469727" customHeight="1">
      <x:c r="A2" s="243"/>
      <x:c r="B2" s="243"/>
      <x:c r="C2" s="243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</x:row>
    <x:row r="3" ht="13.5" customHeight="1">
      <x:c r="A3" s="243"/>
      <x:c r="B3" s="243"/>
      <x:c r="C3" s="24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</x:row>
    <x:row r="4" ht="21.75" customHeight="1">
      <x:c r="A4" s="492"/>
      <x:c r="B4" s="492"/>
      <x:c r="C4" s="492"/>
      <x:c r="D4" s="421" t="s">
        <x:v>20</x:v>
      </x:c>
      <x:c r="E4" s="422"/>
      <x:c r="F4" s="422"/>
      <x:c r="G4" s="422"/>
      <x:c r="H4" s="422"/>
      <x:c r="I4" s="422"/>
      <x:c r="J4" s="422"/>
      <x:c r="K4" s="422"/>
      <x:c r="L4" s="422"/>
      <x:c r="M4" s="423"/>
      <x:c r="N4" s="421" t="s">
        <x:v>21</x:v>
      </x:c>
      <x:c r="O4" s="422"/>
      <x:c r="P4" s="422"/>
      <x:c r="Q4" s="422"/>
      <x:c r="R4" s="422"/>
      <x:c r="S4" s="422"/>
      <x:c r="T4" s="422"/>
      <x:c r="U4" s="422"/>
      <x:c r="V4" s="422"/>
      <x:c r="W4" s="423"/>
      <x:c r="X4" s="421" t="s">
        <x:v>22</x:v>
      </x:c>
      <x:c r="Y4" s="422"/>
      <x:c r="Z4" s="422"/>
      <x:c r="AA4" s="422"/>
      <x:c r="AB4" s="422"/>
      <x:c r="AC4" s="422"/>
      <x:c r="AD4" s="422"/>
      <x:c r="AE4" s="422"/>
      <x:c r="AF4" s="422"/>
      <x:c r="AG4" s="423"/>
      <x:c r="AH4" s="421" t="s">
        <x:v>23</x:v>
      </x:c>
      <x:c r="AI4" s="422"/>
      <x:c r="AJ4" s="422"/>
      <x:c r="AK4" s="422"/>
      <x:c r="AL4" s="422"/>
      <x:c r="AM4" s="422"/>
      <x:c r="AN4" s="422"/>
      <x:c r="AO4" s="422"/>
      <x:c r="AP4" s="422"/>
      <x:c r="AQ4" s="423"/>
      <x:c r="AR4" s="421" t="s">
        <x:v>24</x:v>
      </x:c>
      <x:c r="AS4" s="422"/>
      <x:c r="AT4" s="422"/>
      <x:c r="AU4" s="422"/>
      <x:c r="AV4" s="422"/>
      <x:c r="AW4" s="422"/>
      <x:c r="AX4" s="422"/>
      <x:c r="AY4" s="422"/>
      <x:c r="AZ4" s="422"/>
      <x:c r="BA4" s="423"/>
      <x:c r="BB4" s="421" t="s">
        <x:v>25</x:v>
      </x:c>
      <x:c r="BC4" s="422"/>
      <x:c r="BD4" s="422"/>
      <x:c r="BE4" s="422"/>
      <x:c r="BF4" s="422"/>
      <x:c r="BG4" s="422"/>
      <x:c r="BH4" s="422"/>
      <x:c r="BI4" s="422"/>
      <x:c r="BJ4" s="422"/>
      <x:c r="BK4" s="423"/>
      <x:c r="BL4" s="421" t="str">
        <x:v>Semaine 7</x:v>
      </x:c>
      <x:c r="BM4" s="422"/>
      <x:c r="BN4" s="422"/>
      <x:c r="BO4" s="422"/>
      <x:c r="BP4" s="422"/>
      <x:c r="BQ4" s="422"/>
      <x:c r="BR4" s="422"/>
      <x:c r="BS4" s="422"/>
      <x:c r="BT4" s="422"/>
      <x:c r="BU4" s="423"/>
    </x:row>
    <x:row r="5" ht="40.150001525878906" customHeight="1">
      <x:c r="A5" s="458" t="str">
        <x:f>IF('Sans Montants'!A6="","",'Sans Montants'!A6)</x:f>
        <x:v>Peintures Intérieures</x:v>
      </x:c>
      <x:c r="B5" s="464" t="str">
        <x:f>IF('Sans Montants'!B6="","",'Sans Montants'!B6)</x:f>
        <x:v>Préparations et mise en peinture des plafonds</x:v>
      </x:c>
      <x:c r="C5" s="465" t="n">
        <x:f>'Sans Montants'!D6</x:f>
        <x:v>2.5</x:v>
      </x:c>
      <x:c r="D5" s="457"/>
      <x:c r="E5" s="455"/>
      <x:c r="F5" s="454"/>
      <x:c r="G5" s="455"/>
      <x:c r="H5" s="454"/>
      <x:c r="I5" s="455"/>
      <x:c r="J5" s="454"/>
      <x:c r="K5" s="455"/>
      <x:c r="L5" s="454"/>
      <x:c r="M5" s="456"/>
      <x:c r="N5" s="454"/>
      <x:c r="O5" s="455"/>
      <x:c r="P5" s="454"/>
      <x:c r="Q5" s="455"/>
      <x:c r="R5" s="454"/>
      <x:c r="S5" s="455"/>
      <x:c r="T5" s="454"/>
      <x:c r="U5" s="455"/>
      <x:c r="V5" s="454"/>
      <x:c r="W5" s="456"/>
      <x:c r="X5" s="454"/>
      <x:c r="Y5" s="455"/>
      <x:c r="Z5" s="454"/>
      <x:c r="AA5" s="455"/>
      <x:c r="AB5" s="454"/>
      <x:c r="AC5" s="455"/>
      <x:c r="AD5" s="454"/>
      <x:c r="AE5" s="455"/>
      <x:c r="AF5" s="454"/>
      <x:c r="AG5" s="456"/>
      <x:c r="AH5" s="454"/>
      <x:c r="AI5" s="455"/>
      <x:c r="AJ5" s="454"/>
      <x:c r="AK5" s="455"/>
      <x:c r="AL5" s="454"/>
      <x:c r="AM5" s="455"/>
      <x:c r="AN5" s="454"/>
      <x:c r="AO5" s="455"/>
      <x:c r="AP5" s="454"/>
      <x:c r="AQ5" s="456"/>
      <x:c r="AR5" s="454"/>
      <x:c r="AS5" s="455"/>
      <x:c r="AT5" s="454"/>
      <x:c r="AU5" s="455"/>
      <x:c r="AV5" s="454"/>
      <x:c r="AW5" s="455"/>
      <x:c r="AX5" s="454"/>
      <x:c r="AY5" s="455"/>
      <x:c r="AZ5" s="454"/>
      <x:c r="BA5" s="456"/>
      <x:c r="BB5" s="454"/>
      <x:c r="BC5" s="455"/>
      <x:c r="BD5" s="454"/>
      <x:c r="BE5" s="455"/>
      <x:c r="BF5" s="454"/>
      <x:c r="BG5" s="455"/>
      <x:c r="BH5" s="454"/>
      <x:c r="BI5" s="455"/>
      <x:c r="BJ5" s="454"/>
      <x:c r="BK5" s="456"/>
      <x:c r="BL5" s="503"/>
      <x:c r="BM5" s="504"/>
      <x:c r="BN5" s="505"/>
      <x:c r="BO5" s="504"/>
      <x:c r="BP5" s="505"/>
      <x:c r="BQ5" s="504"/>
      <x:c r="BR5" s="505"/>
      <x:c r="BS5" s="504"/>
      <x:c r="BT5" s="505"/>
      <x:c r="BU5" s="506"/>
    </x:row>
    <x:row r="6" ht="40.150001525878906" customHeight="1">
      <x:c r="A6" s="459" t="str">
        <x:f>IF('Sans Montants'!A7="","",'Sans Montants'!A7)</x:f>
      </x:c>
      <x:c r="B6" s="464" t="str">
        <x:f>IF('Sans Montants'!B7="","",'Sans Montants'!B7)</x:f>
        <x:v>Préparation et mise en peinture des murs compris joints acryliques</x:v>
      </x:c>
      <x:c r="C6" s="465" t="n">
        <x:f>'Sans Montants'!D7</x:f>
        <x:v>22.5</x:v>
      </x:c>
      <x:c r="D6" s="457"/>
      <x:c r="E6" s="455"/>
      <x:c r="F6" s="454"/>
      <x:c r="G6" s="455"/>
      <x:c r="H6" s="454"/>
      <x:c r="I6" s="455"/>
      <x:c r="J6" s="454"/>
      <x:c r="K6" s="455"/>
      <x:c r="L6" s="454"/>
      <x:c r="M6" s="456"/>
      <x:c r="N6" s="454"/>
      <x:c r="O6" s="455"/>
      <x:c r="P6" s="454"/>
      <x:c r="Q6" s="455"/>
      <x:c r="R6" s="454"/>
      <x:c r="S6" s="455"/>
      <x:c r="T6" s="454"/>
      <x:c r="U6" s="455"/>
      <x:c r="V6" s="454"/>
      <x:c r="W6" s="456"/>
      <x:c r="X6" s="454"/>
      <x:c r="Y6" s="455"/>
      <x:c r="Z6" s="454"/>
      <x:c r="AA6" s="455"/>
      <x:c r="AB6" s="454"/>
      <x:c r="AC6" s="455"/>
      <x:c r="AD6" s="454"/>
      <x:c r="AE6" s="455"/>
      <x:c r="AF6" s="454"/>
      <x:c r="AG6" s="456"/>
      <x:c r="AH6" s="454"/>
      <x:c r="AI6" s="455"/>
      <x:c r="AJ6" s="454"/>
      <x:c r="AK6" s="455"/>
      <x:c r="AL6" s="454"/>
      <x:c r="AM6" s="455"/>
      <x:c r="AN6" s="454"/>
      <x:c r="AO6" s="455"/>
      <x:c r="AP6" s="454"/>
      <x:c r="AQ6" s="456"/>
      <x:c r="AR6" s="454"/>
      <x:c r="AS6" s="455"/>
      <x:c r="AT6" s="454"/>
      <x:c r="AU6" s="455"/>
      <x:c r="AV6" s="454"/>
      <x:c r="AW6" s="455"/>
      <x:c r="AX6" s="454"/>
      <x:c r="AY6" s="455"/>
      <x:c r="AZ6" s="454"/>
      <x:c r="BA6" s="456"/>
      <x:c r="BB6" s="454"/>
      <x:c r="BC6" s="455"/>
      <x:c r="BD6" s="454"/>
      <x:c r="BE6" s="455"/>
      <x:c r="BF6" s="454"/>
      <x:c r="BG6" s="455"/>
      <x:c r="BH6" s="454"/>
      <x:c r="BI6" s="455"/>
      <x:c r="BJ6" s="454"/>
      <x:c r="BK6" s="456"/>
      <x:c r="BL6" s="503"/>
      <x:c r="BM6" s="504"/>
      <x:c r="BN6" s="505"/>
      <x:c r="BO6" s="504"/>
      <x:c r="BP6" s="505"/>
      <x:c r="BQ6" s="504"/>
      <x:c r="BR6" s="505"/>
      <x:c r="BS6" s="504"/>
      <x:c r="BT6" s="505"/>
      <x:c r="BU6" s="506"/>
    </x:row>
    <x:row r="7" ht="40.150001525878906" customHeight="1">
      <x:c r="A7" s="459" t="str">
        <x:f>IF('Sans Montants'!A8="","",'Sans Montants'!A8)</x:f>
      </x:c>
      <x:c r="B7" s="464" t="str">
        <x:f>IF('Sans Montants'!B8="","",'Sans Montants'!B8)</x:f>
        <x:v>Mise en peinture des boiseries</x:v>
      </x:c>
      <x:c r="C7" s="465" t="n">
        <x:f>'Sans Montants'!D8</x:f>
        <x:v>3</x:v>
      </x:c>
      <x:c r="D7" s="457"/>
      <x:c r="E7" s="455"/>
      <x:c r="F7" s="454"/>
      <x:c r="G7" s="455"/>
      <x:c r="H7" s="454"/>
      <x:c r="I7" s="455"/>
      <x:c r="J7" s="454"/>
      <x:c r="K7" s="455"/>
      <x:c r="L7" s="454"/>
      <x:c r="M7" s="456"/>
      <x:c r="N7" s="454"/>
      <x:c r="O7" s="455"/>
      <x:c r="P7" s="454"/>
      <x:c r="Q7" s="455"/>
      <x:c r="R7" s="454"/>
      <x:c r="S7" s="455"/>
      <x:c r="T7" s="454"/>
      <x:c r="U7" s="455"/>
      <x:c r="V7" s="454"/>
      <x:c r="W7" s="456"/>
      <x:c r="X7" s="454"/>
      <x:c r="Y7" s="455"/>
      <x:c r="Z7" s="454"/>
      <x:c r="AA7" s="455"/>
      <x:c r="AB7" s="454"/>
      <x:c r="AC7" s="455"/>
      <x:c r="AD7" s="454"/>
      <x:c r="AE7" s="455"/>
      <x:c r="AF7" s="454"/>
      <x:c r="AG7" s="456"/>
      <x:c r="AH7" s="454"/>
      <x:c r="AI7" s="455"/>
      <x:c r="AJ7" s="454"/>
      <x:c r="AK7" s="455"/>
      <x:c r="AL7" s="454"/>
      <x:c r="AM7" s="455"/>
      <x:c r="AN7" s="454"/>
      <x:c r="AO7" s="455"/>
      <x:c r="AP7" s="454"/>
      <x:c r="AQ7" s="456"/>
      <x:c r="AR7" s="454"/>
      <x:c r="AS7" s="455"/>
      <x:c r="AT7" s="454"/>
      <x:c r="AU7" s="455"/>
      <x:c r="AV7" s="454"/>
      <x:c r="AW7" s="455"/>
      <x:c r="AX7" s="454"/>
      <x:c r="AY7" s="455"/>
      <x:c r="AZ7" s="454"/>
      <x:c r="BA7" s="456"/>
      <x:c r="BB7" s="454"/>
      <x:c r="BC7" s="455"/>
      <x:c r="BD7" s="454"/>
      <x:c r="BE7" s="455"/>
      <x:c r="BF7" s="454"/>
      <x:c r="BG7" s="455"/>
      <x:c r="BH7" s="454"/>
      <x:c r="BI7" s="455"/>
      <x:c r="BJ7" s="454"/>
      <x:c r="BK7" s="456"/>
      <x:c r="BL7" s="503"/>
      <x:c r="BM7" s="504"/>
      <x:c r="BN7" s="505"/>
      <x:c r="BO7" s="504"/>
      <x:c r="BP7" s="505"/>
      <x:c r="BQ7" s="504"/>
      <x:c r="BR7" s="505"/>
      <x:c r="BS7" s="504"/>
      <x:c r="BT7" s="505"/>
      <x:c r="BU7" s="506"/>
    </x:row>
    <x:row r="8" ht="40.150001525878906" customHeight="1">
      <x:c r="A8" s="460" t="str">
        <x:f>IF('Sans Montants'!A9="","",'Sans Montants'!A9)</x:f>
      </x:c>
      <x:c r="B8" s="464" t="str">
        <x:f>IF('Sans Montants'!B9="","",'Sans Montants'!B9)</x:f>
        <x:v>Mise en peinture des métalleries</x:v>
      </x:c>
      <x:c r="C8" s="465" t="n">
        <x:f>'Sans Montants'!D9</x:f>
        <x:v>1</x:v>
      </x:c>
      <x:c r="D8" s="457"/>
      <x:c r="E8" s="455"/>
      <x:c r="F8" s="454"/>
      <x:c r="G8" s="455"/>
      <x:c r="H8" s="454"/>
      <x:c r="I8" s="455"/>
      <x:c r="J8" s="454"/>
      <x:c r="K8" s="455"/>
      <x:c r="L8" s="454"/>
      <x:c r="M8" s="456"/>
      <x:c r="N8" s="454"/>
      <x:c r="O8" s="455"/>
      <x:c r="P8" s="454"/>
      <x:c r="Q8" s="455"/>
      <x:c r="R8" s="454"/>
      <x:c r="S8" s="455"/>
      <x:c r="T8" s="454"/>
      <x:c r="U8" s="455"/>
      <x:c r="V8" s="454"/>
      <x:c r="W8" s="456"/>
      <x:c r="X8" s="454"/>
      <x:c r="Y8" s="455"/>
      <x:c r="Z8" s="454"/>
      <x:c r="AA8" s="455"/>
      <x:c r="AB8" s="454"/>
      <x:c r="AC8" s="455"/>
      <x:c r="AD8" s="454"/>
      <x:c r="AE8" s="455"/>
      <x:c r="AF8" s="454"/>
      <x:c r="AG8" s="456"/>
      <x:c r="AH8" s="454"/>
      <x:c r="AI8" s="455"/>
      <x:c r="AJ8" s="454"/>
      <x:c r="AK8" s="455"/>
      <x:c r="AL8" s="454"/>
      <x:c r="AM8" s="455"/>
      <x:c r="AN8" s="454"/>
      <x:c r="AO8" s="455"/>
      <x:c r="AP8" s="454"/>
      <x:c r="AQ8" s="456"/>
      <x:c r="AR8" s="454"/>
      <x:c r="AS8" s="455"/>
      <x:c r="AT8" s="454"/>
      <x:c r="AU8" s="455"/>
      <x:c r="AV8" s="454"/>
      <x:c r="AW8" s="455"/>
      <x:c r="AX8" s="454"/>
      <x:c r="AY8" s="455"/>
      <x:c r="AZ8" s="454"/>
      <x:c r="BA8" s="456"/>
      <x:c r="BB8" s="454"/>
      <x:c r="BC8" s="455"/>
      <x:c r="BD8" s="454"/>
      <x:c r="BE8" s="455"/>
      <x:c r="BF8" s="454"/>
      <x:c r="BG8" s="455"/>
      <x:c r="BH8" s="454"/>
      <x:c r="BI8" s="455"/>
      <x:c r="BJ8" s="454"/>
      <x:c r="BK8" s="456"/>
      <x:c r="BL8" s="503"/>
      <x:c r="BM8" s="504"/>
      <x:c r="BN8" s="505"/>
      <x:c r="BO8" s="504"/>
      <x:c r="BP8" s="505"/>
      <x:c r="BQ8" s="504"/>
      <x:c r="BR8" s="505"/>
      <x:c r="BS8" s="504"/>
      <x:c r="BT8" s="505"/>
      <x:c r="BU8" s="506"/>
    </x:row>
    <x:row r="9" ht="12.75" customHeight="1">
      <x:c r="A9" s="243"/>
      <x:c r="B9" s="243"/>
      <x:c r="C9" s="243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</x:row>
    <x:row r="10" ht="12.75" customHeight="1">
      <x:c r="A10" s="243"/>
      <x:c r="B10" s="394"/>
      <x:c r="C10" s="494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</x:row>
    <x:row r="11" ht="12.75" customHeight="1">
      <x:c r="A11" s="243"/>
      <x:c r="B11" s="243"/>
      <x:c r="C11" s="243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</x:row>
    <x:row r="12" ht="12.75" customHeight="1">
      <x:c r="A12" s="243"/>
      <x:c r="B12" s="243"/>
      <x:c r="C12" s="243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</x:row>
    <x:row r="13" ht="12.75" customHeight="1">
      <x:c r="A13" s="492"/>
      <x:c r="B13" s="492"/>
      <x:c r="C13" s="492"/>
      <x:c r="D13" s="208"/>
      <x:c r="E13" s="209"/>
      <x:c r="F13" s="209"/>
      <x:c r="G13" s="209"/>
      <x:c r="H13" s="209"/>
      <x:c r="I13" s="209"/>
      <x:c r="J13" s="209"/>
      <x:c r="K13" s="209"/>
      <x:c r="L13" s="209"/>
      <x:c r="M13" s="210"/>
      <x:c r="N13" s="208"/>
      <x:c r="O13" s="209"/>
      <x:c r="P13" s="209"/>
      <x:c r="Q13" s="209"/>
      <x:c r="R13" s="209"/>
      <x:c r="S13" s="209"/>
      <x:c r="T13" s="209"/>
      <x:c r="U13" s="209"/>
      <x:c r="V13" s="209"/>
      <x:c r="W13" s="210"/>
      <x:c r="X13" s="208"/>
      <x:c r="Y13" s="209"/>
      <x:c r="Z13" s="209"/>
      <x:c r="AA13" s="209"/>
      <x:c r="AB13" s="209"/>
      <x:c r="AC13" s="209"/>
      <x:c r="AD13" s="209"/>
      <x:c r="AE13" s="209"/>
      <x:c r="AF13" s="209"/>
      <x:c r="AG13" s="210"/>
      <x:c r="AH13" s="208"/>
      <x:c r="AI13" s="209"/>
      <x:c r="AJ13" s="209"/>
      <x:c r="AK13" s="209"/>
      <x:c r="AL13" s="209"/>
      <x:c r="AM13" s="209"/>
      <x:c r="AN13" s="209"/>
      <x:c r="AO13" s="209"/>
      <x:c r="AP13" s="209"/>
      <x:c r="AQ13" s="210"/>
      <x:c r="AR13" s="208"/>
      <x:c r="AS13" s="209"/>
      <x:c r="AT13" s="209"/>
      <x:c r="AU13" s="209"/>
      <x:c r="AV13" s="209"/>
      <x:c r="AW13" s="209"/>
      <x:c r="AX13" s="209"/>
      <x:c r="AY13" s="209"/>
      <x:c r="AZ13" s="209"/>
      <x:c r="BA13" s="210"/>
      <x:c r="BB13" s="208"/>
      <x:c r="BC13" s="209"/>
      <x:c r="BD13" s="209"/>
      <x:c r="BE13" s="209"/>
      <x:c r="BF13" s="209"/>
      <x:c r="BG13" s="209"/>
      <x:c r="BH13" s="209"/>
      <x:c r="BI13" s="209"/>
      <x:c r="BJ13" s="209"/>
      <x:c r="BK13" s="210"/>
      <x:c r="BL13" s="208"/>
      <x:c r="BM13" s="209"/>
      <x:c r="BN13" s="209"/>
      <x:c r="BO13" s="209"/>
      <x:c r="BP13" s="209"/>
      <x:c r="BQ13" s="209"/>
      <x:c r="BR13" s="209"/>
      <x:c r="BS13" s="209"/>
      <x:c r="BT13" s="209"/>
      <x:c r="BU13" s="210"/>
    </x:row>
    <x:row r="14" ht="27.600000381469727" customHeight="1">
      <x:c r="A14" s="394" t="str">
        <x:f>'Sans Montants'!A15</x:f>
        <x:v>CHANTIER : EPHAD RESIDENCE LES FLEURS DE LA LYS - LOT SOL SOUPLE</x:v>
      </x:c>
      <x:c r="B14" s="243"/>
      <x:c r="C14" s="395"/>
      <x:c r="D14" s="307"/>
      <x:c r="E14" s="292"/>
      <x:c r="F14" s="292"/>
      <x:c r="G14" s="292"/>
      <x:c r="H14" s="292"/>
      <x:c r="I14" s="292"/>
      <x:c r="J14" s="292"/>
      <x:c r="K14" s="292"/>
      <x:c r="L14" s="292"/>
      <x:c r="M14" s="292"/>
      <x:c r="N14" s="307"/>
      <x:c r="O14" s="292"/>
      <x:c r="P14" s="292"/>
      <x:c r="Q14" s="292"/>
      <x:c r="R14" s="292"/>
      <x:c r="S14" s="292"/>
      <x:c r="T14" s="292"/>
      <x:c r="U14" s="292"/>
      <x:c r="V14" s="292"/>
      <x:c r="W14" s="292"/>
      <x:c r="X14" s="307"/>
      <x:c r="Y14" s="292"/>
      <x:c r="Z14" s="292"/>
      <x:c r="AA14" s="292"/>
      <x:c r="AB14" s="292"/>
      <x:c r="AC14" s="292"/>
      <x:c r="AD14" s="292"/>
      <x:c r="AE14" s="292"/>
      <x:c r="AF14" s="292"/>
      <x:c r="AG14" s="292"/>
      <x:c r="AH14" s="307"/>
      <x:c r="AI14" s="292"/>
      <x:c r="AJ14" s="292"/>
      <x:c r="AK14" s="292"/>
      <x:c r="AL14" s="292"/>
      <x:c r="AM14" s="292"/>
      <x:c r="AN14" s="292"/>
      <x:c r="AO14" s="292"/>
      <x:c r="AP14" s="292"/>
      <x:c r="AQ14" s="292"/>
      <x:c r="AR14" s="307"/>
      <x:c r="AS14" s="292"/>
      <x:c r="AT14" s="292"/>
      <x:c r="AU14" s="292"/>
      <x:c r="AV14" s="292"/>
      <x:c r="AW14" s="292"/>
      <x:c r="AX14" s="292"/>
      <x:c r="AY14" s="292"/>
      <x:c r="AZ14" s="292"/>
      <x:c r="BA14" s="292"/>
      <x:c r="BB14" s="307"/>
      <x:c r="BC14" s="292"/>
      <x:c r="BD14" s="292"/>
      <x:c r="BE14" s="292"/>
      <x:c r="BF14" s="292"/>
      <x:c r="BG14" s="292"/>
      <x:c r="BH14" s="292"/>
      <x:c r="BI14" s="292"/>
      <x:c r="BJ14" s="292"/>
      <x:c r="BK14" s="292"/>
      <x:c r="BL14" s="307"/>
      <x:c r="BM14" s="292"/>
      <x:c r="BN14" s="292"/>
      <x:c r="BO14" s="292"/>
      <x:c r="BP14" s="292"/>
      <x:c r="BQ14" s="292"/>
      <x:c r="BR14" s="292"/>
      <x:c r="BS14" s="292"/>
      <x:c r="BT14" s="292"/>
      <x:c r="BU14" s="293"/>
    </x:row>
    <x:row r="15" ht="27.600000381469727" customHeight="1">
      <x:c r="A15" s="394"/>
      <x:c r="B15" s="243"/>
      <x:c r="C15" s="395"/>
      <x:c r="D15" s="308"/>
      <x:c r="E15" s="225"/>
      <x:c r="F15" s="225"/>
      <x:c r="G15" s="225"/>
      <x:c r="H15" s="225"/>
      <x:c r="I15" s="225"/>
      <x:c r="J15" s="225"/>
      <x:c r="K15" s="225"/>
      <x:c r="L15" s="225"/>
      <x:c r="M15" s="225"/>
      <x:c r="N15" s="308"/>
      <x:c r="O15" s="225"/>
      <x:c r="P15" s="225"/>
      <x:c r="Q15" s="225"/>
      <x:c r="R15" s="225"/>
      <x:c r="S15" s="225"/>
      <x:c r="T15" s="225"/>
      <x:c r="U15" s="225"/>
      <x:c r="V15" s="225"/>
      <x:c r="W15" s="225"/>
      <x:c r="X15" s="308"/>
      <x:c r="Y15" s="225"/>
      <x:c r="Z15" s="225"/>
      <x:c r="AA15" s="225"/>
      <x:c r="AB15" s="225"/>
      <x:c r="AC15" s="225"/>
      <x:c r="AD15" s="225"/>
      <x:c r="AE15" s="225"/>
      <x:c r="AF15" s="225"/>
      <x:c r="AG15" s="225"/>
      <x:c r="AH15" s="308"/>
      <x:c r="AI15" s="225"/>
      <x:c r="AJ15" s="225"/>
      <x:c r="AK15" s="225"/>
      <x:c r="AL15" s="225"/>
      <x:c r="AM15" s="225"/>
      <x:c r="AN15" s="225"/>
      <x:c r="AO15" s="225"/>
      <x:c r="AP15" s="225"/>
      <x:c r="AQ15" s="225"/>
      <x:c r="AR15" s="308"/>
      <x:c r="AS15" s="225"/>
      <x:c r="AT15" s="225"/>
      <x:c r="AU15" s="225"/>
      <x:c r="AV15" s="225"/>
      <x:c r="AW15" s="225"/>
      <x:c r="AX15" s="225"/>
      <x:c r="AY15" s="225"/>
      <x:c r="AZ15" s="225"/>
      <x:c r="BA15" s="225"/>
      <x:c r="BB15" s="308"/>
      <x:c r="BC15" s="225"/>
      <x:c r="BD15" s="225"/>
      <x:c r="BE15" s="225"/>
      <x:c r="BF15" s="225"/>
      <x:c r="BG15" s="225"/>
      <x:c r="BH15" s="225"/>
      <x:c r="BI15" s="225"/>
      <x:c r="BJ15" s="225"/>
      <x:c r="BK15" s="225"/>
      <x:c r="BL15" s="308"/>
      <x:c r="BM15" s="225"/>
      <x:c r="BN15" s="225"/>
      <x:c r="BO15" s="225"/>
      <x:c r="BP15" s="225"/>
      <x:c r="BQ15" s="225"/>
      <x:c r="BR15" s="225"/>
      <x:c r="BS15" s="225"/>
      <x:c r="BT15" s="225"/>
      <x:c r="BU15" s="295"/>
    </x:row>
    <x:row r="16" ht="13.5" customHeight="1">
      <x:c r="A16" s="394"/>
      <x:c r="B16" s="243"/>
      <x:c r="C16" s="395"/>
      <x:c r="D16" s="308"/>
      <x:c r="E16" s="225"/>
      <x:c r="F16" s="225"/>
      <x:c r="G16" s="225"/>
      <x:c r="H16" s="225"/>
      <x:c r="I16" s="225"/>
      <x:c r="J16" s="225"/>
      <x:c r="K16" s="225"/>
      <x:c r="L16" s="225"/>
      <x:c r="M16" s="225"/>
      <x:c r="N16" s="308"/>
      <x:c r="O16" s="225"/>
      <x:c r="P16" s="225"/>
      <x:c r="Q16" s="225"/>
      <x:c r="R16" s="225"/>
      <x:c r="S16" s="225"/>
      <x:c r="T16" s="225"/>
      <x:c r="U16" s="225"/>
      <x:c r="V16" s="225"/>
      <x:c r="W16" s="225"/>
      <x:c r="X16" s="308"/>
      <x:c r="Y16" s="225"/>
      <x:c r="Z16" s="225"/>
      <x:c r="AA16" s="225"/>
      <x:c r="AB16" s="225"/>
      <x:c r="AC16" s="225"/>
      <x:c r="AD16" s="225"/>
      <x:c r="AE16" s="225"/>
      <x:c r="AF16" s="225"/>
      <x:c r="AG16" s="225"/>
      <x:c r="AH16" s="308"/>
      <x:c r="AI16" s="225"/>
      <x:c r="AJ16" s="225"/>
      <x:c r="AK16" s="225"/>
      <x:c r="AL16" s="225"/>
      <x:c r="AM16" s="225"/>
      <x:c r="AN16" s="225"/>
      <x:c r="AO16" s="225"/>
      <x:c r="AP16" s="225"/>
      <x:c r="AQ16" s="225"/>
      <x:c r="AR16" s="308"/>
      <x:c r="AS16" s="225"/>
      <x:c r="AT16" s="225"/>
      <x:c r="AU16" s="225"/>
      <x:c r="AV16" s="225"/>
      <x:c r="AW16" s="225"/>
      <x:c r="AX16" s="225"/>
      <x:c r="AY16" s="225"/>
      <x:c r="AZ16" s="225"/>
      <x:c r="BA16" s="225"/>
      <x:c r="BB16" s="308"/>
      <x:c r="BC16" s="225"/>
      <x:c r="BD16" s="225"/>
      <x:c r="BE16" s="225"/>
      <x:c r="BF16" s="225"/>
      <x:c r="BG16" s="225"/>
      <x:c r="BH16" s="225"/>
      <x:c r="BI16" s="225"/>
      <x:c r="BJ16" s="225"/>
      <x:c r="BK16" s="225"/>
      <x:c r="BL16" s="308"/>
      <x:c r="BM16" s="225"/>
      <x:c r="BN16" s="225"/>
      <x:c r="BO16" s="225"/>
      <x:c r="BP16" s="225"/>
      <x:c r="BQ16" s="225"/>
      <x:c r="BR16" s="225"/>
      <x:c r="BS16" s="225"/>
      <x:c r="BT16" s="225"/>
      <x:c r="BU16" s="295"/>
    </x:row>
    <x:row r="17" ht="21.75" customHeight="1">
      <x:c r="A17" s="394" t="str">
        <x:f>IF('Sans Montants'!A19="","",'Sans Montants'!A19)</x:f>
        <x:v>SOL SOUPLES</x:v>
      </x:c>
      <x:c r="B17" s="243"/>
      <x:c r="C17" s="395"/>
      <x:c r="D17" s="421" t="s">
        <x:v>20</x:v>
      </x:c>
      <x:c r="E17" s="422"/>
      <x:c r="F17" s="422"/>
      <x:c r="G17" s="422"/>
      <x:c r="H17" s="422"/>
      <x:c r="I17" s="422"/>
      <x:c r="J17" s="422"/>
      <x:c r="K17" s="422"/>
      <x:c r="L17" s="422"/>
      <x:c r="M17" s="423"/>
      <x:c r="N17" s="421" t="s">
        <x:v>21</x:v>
      </x:c>
      <x:c r="O17" s="422"/>
      <x:c r="P17" s="422"/>
      <x:c r="Q17" s="422"/>
      <x:c r="R17" s="422"/>
      <x:c r="S17" s="422"/>
      <x:c r="T17" s="422"/>
      <x:c r="U17" s="422"/>
      <x:c r="V17" s="422"/>
      <x:c r="W17" s="423"/>
      <x:c r="X17" s="421" t="s">
        <x:v>22</x:v>
      </x:c>
      <x:c r="Y17" s="422"/>
      <x:c r="Z17" s="422"/>
      <x:c r="AA17" s="422"/>
      <x:c r="AB17" s="422"/>
      <x:c r="AC17" s="422"/>
      <x:c r="AD17" s="422"/>
      <x:c r="AE17" s="422"/>
      <x:c r="AF17" s="422"/>
      <x:c r="AG17" s="423"/>
      <x:c r="AH17" s="421" t="s">
        <x:v>23</x:v>
      </x:c>
      <x:c r="AI17" s="422"/>
      <x:c r="AJ17" s="422"/>
      <x:c r="AK17" s="422"/>
      <x:c r="AL17" s="422"/>
      <x:c r="AM17" s="422"/>
      <x:c r="AN17" s="422"/>
      <x:c r="AO17" s="422"/>
      <x:c r="AP17" s="422"/>
      <x:c r="AQ17" s="423"/>
      <x:c r="AR17" s="421" t="s">
        <x:v>24</x:v>
      </x:c>
      <x:c r="AS17" s="422"/>
      <x:c r="AT17" s="422"/>
      <x:c r="AU17" s="422"/>
      <x:c r="AV17" s="422"/>
      <x:c r="AW17" s="422"/>
      <x:c r="AX17" s="422"/>
      <x:c r="AY17" s="422"/>
      <x:c r="AZ17" s="422"/>
      <x:c r="BA17" s="423"/>
      <x:c r="BB17" s="421" t="s">
        <x:v>25</x:v>
      </x:c>
      <x:c r="BC17" s="422"/>
      <x:c r="BD17" s="422"/>
      <x:c r="BE17" s="422"/>
      <x:c r="BF17" s="422"/>
      <x:c r="BG17" s="422"/>
      <x:c r="BH17" s="422"/>
      <x:c r="BI17" s="422"/>
      <x:c r="BJ17" s="422"/>
      <x:c r="BK17" s="423"/>
      <x:c r="BL17" s="421" t="str">
        <x:v>Semaine 7</x:v>
      </x:c>
      <x:c r="BM17" s="422"/>
      <x:c r="BN17" s="422"/>
      <x:c r="BO17" s="422"/>
      <x:c r="BP17" s="422"/>
      <x:c r="BQ17" s="422"/>
      <x:c r="BR17" s="422"/>
      <x:c r="BS17" s="422"/>
      <x:c r="BT17" s="422"/>
      <x:c r="BU17" s="423"/>
    </x:row>
    <x:row r="18" ht="49.5" customHeight="1">
      <x:c r="A18" s="458" t="str">
        <x:f>IF('Sans Montants'!A20="","",'Sans Montants'!A20)</x:f>
        <x:v>Chambres et salles de bains</x:v>
      </x:c>
      <x:c r="B18" s="464" t="str">
        <x:f>IF('Sans Montants'!B20="","",'Sans Montants'!B20)</x:f>
        <x:v>Dépose et ragréage des sols</x:v>
      </x:c>
      <x:c r="C18" s="465" t="n">
        <x:f>'Sans Montants'!D20</x:f>
        <x:v>3</x:v>
      </x:c>
      <x:c r="D18" s="457"/>
      <x:c r="E18" s="455"/>
      <x:c r="F18" s="454"/>
      <x:c r="G18" s="455"/>
      <x:c r="H18" s="454"/>
      <x:c r="I18" s="455"/>
      <x:c r="J18" s="454"/>
      <x:c r="K18" s="455"/>
      <x:c r="L18" s="454"/>
      <x:c r="M18" s="456"/>
      <x:c r="N18" s="454"/>
      <x:c r="O18" s="455"/>
      <x:c r="P18" s="454"/>
      <x:c r="Q18" s="455"/>
      <x:c r="R18" s="454"/>
      <x:c r="S18" s="455"/>
      <x:c r="T18" s="454"/>
      <x:c r="U18" s="455"/>
      <x:c r="V18" s="454"/>
      <x:c r="W18" s="456"/>
      <x:c r="X18" s="454"/>
      <x:c r="Y18" s="455"/>
      <x:c r="Z18" s="454"/>
      <x:c r="AA18" s="455"/>
      <x:c r="AB18" s="454"/>
      <x:c r="AC18" s="455"/>
      <x:c r="AD18" s="454"/>
      <x:c r="AE18" s="455"/>
      <x:c r="AF18" s="454"/>
      <x:c r="AG18" s="456"/>
      <x:c r="AH18" s="454"/>
      <x:c r="AI18" s="455"/>
      <x:c r="AJ18" s="454"/>
      <x:c r="AK18" s="455"/>
      <x:c r="AL18" s="454"/>
      <x:c r="AM18" s="455"/>
      <x:c r="AN18" s="454"/>
      <x:c r="AO18" s="455"/>
      <x:c r="AP18" s="454"/>
      <x:c r="AQ18" s="456"/>
      <x:c r="AR18" s="454"/>
      <x:c r="AS18" s="455"/>
      <x:c r="AT18" s="454"/>
      <x:c r="AU18" s="455"/>
      <x:c r="AV18" s="454"/>
      <x:c r="AW18" s="455"/>
      <x:c r="AX18" s="454"/>
      <x:c r="AY18" s="455"/>
      <x:c r="AZ18" s="454"/>
      <x:c r="BA18" s="456"/>
      <x:c r="BB18" s="454"/>
      <x:c r="BC18" s="455"/>
      <x:c r="BD18" s="454"/>
      <x:c r="BE18" s="455"/>
      <x:c r="BF18" s="454"/>
      <x:c r="BG18" s="455"/>
      <x:c r="BH18" s="454"/>
      <x:c r="BI18" s="455"/>
      <x:c r="BJ18" s="454"/>
      <x:c r="BK18" s="456"/>
      <x:c r="BL18" s="503"/>
      <x:c r="BM18" s="504"/>
      <x:c r="BN18" s="505"/>
      <x:c r="BO18" s="504"/>
      <x:c r="BP18" s="505"/>
      <x:c r="BQ18" s="504"/>
      <x:c r="BR18" s="505"/>
      <x:c r="BS18" s="504"/>
      <x:c r="BT18" s="505"/>
      <x:c r="BU18" s="506"/>
    </x:row>
    <x:row r="19" ht="40.150001525878906" customHeight="1">
      <x:c r="A19" s="460" t="str">
        <x:f>IF('Sans Montants'!A21="","",'Sans Montants'!A21)</x:f>
      </x:c>
      <x:c r="B19" s="464" t="str">
        <x:f>IF('Sans Montants'!B21="","",'Sans Montants'!B21)</x:f>
        <x:v>Pose de sol PVC avec remontée en plinthes</x:v>
      </x:c>
      <x:c r="C19" s="465" t="n">
        <x:f>'Sans Montants'!D21</x:f>
        <x:v>10.5</x:v>
      </x:c>
      <x:c r="D19" s="457"/>
      <x:c r="E19" s="455"/>
      <x:c r="F19" s="454"/>
      <x:c r="G19" s="455"/>
      <x:c r="H19" s="454"/>
      <x:c r="I19" s="455"/>
      <x:c r="J19" s="454"/>
      <x:c r="K19" s="455"/>
      <x:c r="L19" s="454"/>
      <x:c r="M19" s="456"/>
      <x:c r="N19" s="454"/>
      <x:c r="O19" s="455"/>
      <x:c r="P19" s="454"/>
      <x:c r="Q19" s="455"/>
      <x:c r="R19" s="454"/>
      <x:c r="S19" s="455"/>
      <x:c r="T19" s="454"/>
      <x:c r="U19" s="455"/>
      <x:c r="V19" s="454"/>
      <x:c r="W19" s="456"/>
      <x:c r="X19" s="454"/>
      <x:c r="Y19" s="455"/>
      <x:c r="Z19" s="454"/>
      <x:c r="AA19" s="455"/>
      <x:c r="AB19" s="454"/>
      <x:c r="AC19" s="455"/>
      <x:c r="AD19" s="454"/>
      <x:c r="AE19" s="455"/>
      <x:c r="AF19" s="454"/>
      <x:c r="AG19" s="456"/>
      <x:c r="AH19" s="454"/>
      <x:c r="AI19" s="455"/>
      <x:c r="AJ19" s="454"/>
      <x:c r="AK19" s="455"/>
      <x:c r="AL19" s="454"/>
      <x:c r="AM19" s="455"/>
      <x:c r="AN19" s="454"/>
      <x:c r="AO19" s="455"/>
      <x:c r="AP19" s="454"/>
      <x:c r="AQ19" s="456"/>
      <x:c r="AR19" s="454"/>
      <x:c r="AS19" s="455"/>
      <x:c r="AT19" s="454"/>
      <x:c r="AU19" s="455"/>
      <x:c r="AV19" s="454"/>
      <x:c r="AW19" s="455"/>
      <x:c r="AX19" s="454"/>
      <x:c r="AY19" s="455"/>
      <x:c r="AZ19" s="454"/>
      <x:c r="BA19" s="456"/>
      <x:c r="BB19" s="454"/>
      <x:c r="BC19" s="455"/>
      <x:c r="BD19" s="454"/>
      <x:c r="BE19" s="455"/>
      <x:c r="BF19" s="454"/>
      <x:c r="BG19" s="455"/>
      <x:c r="BH19" s="454"/>
      <x:c r="BI19" s="455"/>
      <x:c r="BJ19" s="454"/>
      <x:c r="BK19" s="456"/>
      <x:c r="BL19" s="503"/>
      <x:c r="BM19" s="504"/>
      <x:c r="BN19" s="505"/>
      <x:c r="BO19" s="504"/>
      <x:c r="BP19" s="505"/>
      <x:c r="BQ19" s="504"/>
      <x:c r="BR19" s="505"/>
      <x:c r="BS19" s="504"/>
      <x:c r="BT19" s="505"/>
      <x:c r="BU19" s="506"/>
    </x:row>
    <x:row r="20" ht="51.75" customHeight="1">
      <x:c r="A20" s="458" t="str">
        <x:f>IF('Sans Montants'!A22="","",'Sans Montants'!A22)</x:f>
        <x:v>Circulation, locaux annexes</x:v>
      </x:c>
      <x:c r="B20" s="464" t="str">
        <x:f>IF('Sans Montants'!B22="","",'Sans Montants'!B22)</x:f>
        <x:v>Dépose et ragréage des sols</x:v>
      </x:c>
      <x:c r="C20" s="465" t="n">
        <x:f>'Sans Montants'!D22</x:f>
        <x:v>2.5</x:v>
      </x:c>
      <x:c r="D20" s="457"/>
      <x:c r="E20" s="455"/>
      <x:c r="F20" s="454"/>
      <x:c r="G20" s="455"/>
      <x:c r="H20" s="454"/>
      <x:c r="I20" s="455"/>
      <x:c r="J20" s="454"/>
      <x:c r="K20" s="455"/>
      <x:c r="L20" s="454"/>
      <x:c r="M20" s="456"/>
      <x:c r="N20" s="454"/>
      <x:c r="O20" s="455"/>
      <x:c r="P20" s="454"/>
      <x:c r="Q20" s="455"/>
      <x:c r="R20" s="454"/>
      <x:c r="S20" s="455"/>
      <x:c r="T20" s="454"/>
      <x:c r="U20" s="455"/>
      <x:c r="V20" s="454"/>
      <x:c r="W20" s="456"/>
      <x:c r="X20" s="454"/>
      <x:c r="Y20" s="455"/>
      <x:c r="Z20" s="454"/>
      <x:c r="AA20" s="455"/>
      <x:c r="AB20" s="454"/>
      <x:c r="AC20" s="455"/>
      <x:c r="AD20" s="454"/>
      <x:c r="AE20" s="455"/>
      <x:c r="AF20" s="454"/>
      <x:c r="AG20" s="456"/>
      <x:c r="AH20" s="454"/>
      <x:c r="AI20" s="455"/>
      <x:c r="AJ20" s="454"/>
      <x:c r="AK20" s="455"/>
      <x:c r="AL20" s="454"/>
      <x:c r="AM20" s="455"/>
      <x:c r="AN20" s="454"/>
      <x:c r="AO20" s="455"/>
      <x:c r="AP20" s="454"/>
      <x:c r="AQ20" s="456"/>
      <x:c r="AR20" s="454"/>
      <x:c r="AS20" s="455"/>
      <x:c r="AT20" s="454"/>
      <x:c r="AU20" s="455"/>
      <x:c r="AV20" s="454"/>
      <x:c r="AW20" s="455"/>
      <x:c r="AX20" s="454"/>
      <x:c r="AY20" s="455"/>
      <x:c r="AZ20" s="454"/>
      <x:c r="BA20" s="456"/>
      <x:c r="BB20" s="454"/>
      <x:c r="BC20" s="455"/>
      <x:c r="BD20" s="454"/>
      <x:c r="BE20" s="455"/>
      <x:c r="BF20" s="454"/>
      <x:c r="BG20" s="455"/>
      <x:c r="BH20" s="454"/>
      <x:c r="BI20" s="455"/>
      <x:c r="BJ20" s="454"/>
      <x:c r="BK20" s="456"/>
      <x:c r="BL20" s="503"/>
      <x:c r="BM20" s="504"/>
      <x:c r="BN20" s="505"/>
      <x:c r="BO20" s="504"/>
      <x:c r="BP20" s="505"/>
      <x:c r="BQ20" s="504"/>
      <x:c r="BR20" s="505"/>
      <x:c r="BS20" s="504"/>
      <x:c r="BT20" s="505"/>
      <x:c r="BU20" s="506"/>
    </x:row>
    <x:row r="21" ht="40.150001525878906" customHeight="1">
      <x:c r="A21" s="460" t="str">
        <x:f>IF('Sans Montants'!A23="","",'Sans Montants'!A23)</x:f>
      </x:c>
      <x:c r="B21" s="464" t="str">
        <x:f>IF('Sans Montants'!B23="","",'Sans Montants'!B23)</x:f>
        <x:v>Pose de sol PVC avec remontée en plinthes compris reprise de sol dans la salle de bains commune</x:v>
      </x:c>
      <x:c r="C21" s="465" t="n">
        <x:f>'Sans Montants'!D23</x:f>
        <x:v>15.5</x:v>
      </x:c>
      <x:c r="D21" s="457"/>
      <x:c r="E21" s="455"/>
      <x:c r="F21" s="454"/>
      <x:c r="G21" s="455"/>
      <x:c r="H21" s="454"/>
      <x:c r="I21" s="455"/>
      <x:c r="J21" s="454"/>
      <x:c r="K21" s="455"/>
      <x:c r="L21" s="454"/>
      <x:c r="M21" s="456"/>
      <x:c r="N21" s="454"/>
      <x:c r="O21" s="455"/>
      <x:c r="P21" s="454"/>
      <x:c r="Q21" s="455"/>
      <x:c r="R21" s="454"/>
      <x:c r="S21" s="455"/>
      <x:c r="T21" s="454"/>
      <x:c r="U21" s="455"/>
      <x:c r="V21" s="454"/>
      <x:c r="W21" s="456"/>
      <x:c r="X21" s="454"/>
      <x:c r="Y21" s="455"/>
      <x:c r="Z21" s="454"/>
      <x:c r="AA21" s="455"/>
      <x:c r="AB21" s="454"/>
      <x:c r="AC21" s="455"/>
      <x:c r="AD21" s="454"/>
      <x:c r="AE21" s="455"/>
      <x:c r="AF21" s="454"/>
      <x:c r="AG21" s="456"/>
      <x:c r="AH21" s="454"/>
      <x:c r="AI21" s="455"/>
      <x:c r="AJ21" s="454"/>
      <x:c r="AK21" s="455"/>
      <x:c r="AL21" s="454"/>
      <x:c r="AM21" s="455"/>
      <x:c r="AN21" s="454"/>
      <x:c r="AO21" s="455"/>
      <x:c r="AP21" s="454"/>
      <x:c r="AQ21" s="456"/>
      <x:c r="AR21" s="454"/>
      <x:c r="AS21" s="455"/>
      <x:c r="AT21" s="454"/>
      <x:c r="AU21" s="455"/>
      <x:c r="AV21" s="454"/>
      <x:c r="AW21" s="455"/>
      <x:c r="AX21" s="454"/>
      <x:c r="AY21" s="455"/>
      <x:c r="AZ21" s="454"/>
      <x:c r="BA21" s="456"/>
      <x:c r="BB21" s="454"/>
      <x:c r="BC21" s="455"/>
      <x:c r="BD21" s="454"/>
      <x:c r="BE21" s="455"/>
      <x:c r="BF21" s="454"/>
      <x:c r="BG21" s="455"/>
      <x:c r="BH21" s="454"/>
      <x:c r="BI21" s="455"/>
      <x:c r="BJ21" s="454"/>
      <x:c r="BK21" s="456"/>
      <x:c r="BL21" s="503"/>
      <x:c r="BM21" s="504"/>
      <x:c r="BN21" s="505"/>
      <x:c r="BO21" s="504"/>
      <x:c r="BP21" s="505"/>
      <x:c r="BQ21" s="504"/>
      <x:c r="BR21" s="505"/>
      <x:c r="BS21" s="504"/>
      <x:c r="BT21" s="505"/>
      <x:c r="BU21" s="506"/>
    </x:row>
    <x:row r="22" ht="40.150001525878906" customHeight="1">
      <x:c r="A22" s="495" t="str">
        <x:f>IF('Sans Montants'!A24="","",'Sans Montants'!A24)</x:f>
        <x:v>Raccords de sol</x:v>
      </x:c>
      <x:c r="B22" s="464" t="str">
        <x:f>IF('Sans Montants'!B24="","",'Sans Montants'!B24)</x:f>
        <x:v>Traitement des jonctions de sol au droit des seuils et pose des joints de dilatations</x:v>
      </x:c>
      <x:c r="C22" s="465" t="n">
        <x:f>'Sans Montants'!D24</x:f>
        <x:v>1.5</x:v>
      </x:c>
      <x:c r="D22" s="457"/>
      <x:c r="E22" s="455"/>
      <x:c r="F22" s="454"/>
      <x:c r="G22" s="455"/>
      <x:c r="H22" s="454"/>
      <x:c r="I22" s="455"/>
      <x:c r="J22" s="454"/>
      <x:c r="K22" s="455"/>
      <x:c r="L22" s="454"/>
      <x:c r="M22" s="456"/>
      <x:c r="N22" s="454"/>
      <x:c r="O22" s="455"/>
      <x:c r="P22" s="454"/>
      <x:c r="Q22" s="455"/>
      <x:c r="R22" s="454"/>
      <x:c r="S22" s="455"/>
      <x:c r="T22" s="454"/>
      <x:c r="U22" s="455"/>
      <x:c r="V22" s="454"/>
      <x:c r="W22" s="456"/>
      <x:c r="X22" s="454"/>
      <x:c r="Y22" s="455"/>
      <x:c r="Z22" s="454"/>
      <x:c r="AA22" s="455"/>
      <x:c r="AB22" s="454"/>
      <x:c r="AC22" s="455"/>
      <x:c r="AD22" s="454"/>
      <x:c r="AE22" s="455"/>
      <x:c r="AF22" s="454"/>
      <x:c r="AG22" s="456"/>
      <x:c r="AH22" s="454"/>
      <x:c r="AI22" s="455"/>
      <x:c r="AJ22" s="454"/>
      <x:c r="AK22" s="455"/>
      <x:c r="AL22" s="454"/>
      <x:c r="AM22" s="455"/>
      <x:c r="AN22" s="454"/>
      <x:c r="AO22" s="455"/>
      <x:c r="AP22" s="454"/>
      <x:c r="AQ22" s="456"/>
      <x:c r="AR22" s="454"/>
      <x:c r="AS22" s="455"/>
      <x:c r="AT22" s="454"/>
      <x:c r="AU22" s="455"/>
      <x:c r="AV22" s="454"/>
      <x:c r="AW22" s="455"/>
      <x:c r="AX22" s="454"/>
      <x:c r="AY22" s="455"/>
      <x:c r="AZ22" s="454"/>
      <x:c r="BA22" s="456"/>
      <x:c r="BB22" s="454"/>
      <x:c r="BC22" s="455"/>
      <x:c r="BD22" s="454"/>
      <x:c r="BE22" s="455"/>
      <x:c r="BF22" s="454"/>
      <x:c r="BG22" s="455"/>
      <x:c r="BH22" s="454"/>
      <x:c r="BI22" s="455"/>
      <x:c r="BJ22" s="454"/>
      <x:c r="BK22" s="456"/>
      <x:c r="BL22" s="503"/>
      <x:c r="BM22" s="507"/>
      <x:c r="BN22" s="508"/>
      <x:c r="BO22" s="507"/>
      <x:c r="BP22" s="508"/>
      <x:c r="BQ22" s="507"/>
      <x:c r="BR22" s="508"/>
      <x:c r="BS22" s="507"/>
      <x:c r="BT22" s="508"/>
      <x:c r="BU22" s="509"/>
    </x:row>
    <x:row r="23">
      <x:c r="A23" s="394"/>
      <x:c r="B23" s="243"/>
      <x:c r="C23" s="243"/>
      <x:c r="D23" s="234"/>
      <x:c r="E23" s="234"/>
      <x:c r="F23" s="234"/>
      <x:c r="G23" s="234"/>
      <x:c r="H23" s="234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  <x:c r="AA23" s="234"/>
      <x:c r="AB23" s="234"/>
      <x:c r="AC23" s="234"/>
      <x:c r="AD23" s="234"/>
      <x:c r="AE23" s="234"/>
      <x:c r="AF23" s="234"/>
      <x:c r="AG23" s="234"/>
      <x:c r="AH23" s="234"/>
      <x:c r="AI23" s="234"/>
      <x:c r="AJ23" s="234"/>
      <x:c r="AK23" s="234"/>
      <x:c r="AL23" s="234"/>
      <x:c r="AM23" s="234"/>
      <x:c r="AN23" s="234"/>
      <x:c r="AO23" s="234"/>
      <x:c r="AP23" s="234"/>
      <x:c r="AQ23" s="234"/>
      <x:c r="AR23" s="234"/>
      <x:c r="AS23" s="234"/>
      <x:c r="AT23" s="234"/>
      <x:c r="AU23" s="234"/>
      <x:c r="AV23" s="234"/>
      <x:c r="AW23" s="234"/>
      <x:c r="AX23" s="234"/>
      <x:c r="AY23" s="234"/>
      <x:c r="AZ23" s="234"/>
      <x:c r="BA23" s="234"/>
      <x:c r="BB23" s="234"/>
      <x:c r="BC23" s="234"/>
      <x:c r="BD23" s="234"/>
      <x:c r="BE23" s="234"/>
      <x:c r="BF23" s="234"/>
      <x:c r="BG23" s="234"/>
      <x:c r="BH23" s="234"/>
      <x:c r="BI23" s="234"/>
      <x:c r="BJ23" s="234"/>
      <x:c r="BK23" s="234"/>
      <x:c r="BL23" s="234"/>
      <x:c r="BM23" s="234"/>
      <x:c r="BN23" s="234"/>
      <x:c r="BO23" s="234"/>
      <x:c r="BP23" s="234"/>
      <x:c r="BQ23" s="234"/>
      <x:c r="BR23" s="234"/>
      <x:c r="BS23" s="234"/>
      <x:c r="BT23" s="234"/>
      <x:c r="BU23" s="234"/>
    </x:row>
    <x:row r="24">
      <x:c r="A24" s="243"/>
      <x:c r="B24" s="243"/>
      <x:c r="C24" s="243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</x:row>
    <x:row r="25" ht="12.75" customHeight="1">
      <x:c r="A25" s="243" t="s">
        <x:v>29</x:v>
      </x:c>
      <x:c r="B25" s="243"/>
      <x:c r="C25" s="243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</x:row>
    <x:row r="26" ht="12.75" customHeight="1">
      <x:c r="A26" s="243" t="s">
        <x:v>30</x:v>
      </x:c>
      <x:c r="B26" s="243"/>
      <x:c r="C26" s="243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</x:row>
    <x:row r="27" ht="12.75" customHeight="1">
      <x:c r="A27" s="243"/>
      <x:c r="B27" s="243"/>
      <x:c r="C27" s="243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</x:row>
    <x:row r="28" ht="12.75" customHeight="1">
      <x:c r="A28" s="243" t="s">
        <x:v>31</x:v>
      </x:c>
      <x:c r="B28" s="243"/>
      <x:c r="C28" s="243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</x:row>
    <x:row r="29" ht="12.75" customHeight="1">
      <x:c r="A29" s="243" t="s">
        <x:v>32</x:v>
      </x:c>
      <x:c r="B29" s="243"/>
      <x:c r="C29" s="243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</x:row>
    <x:row r="30">
      <x:c r="A30" s="243"/>
      <x:c r="B30" s="243"/>
      <x:c r="C30" s="243"/>
    </x:row>
    <x:row r="31">
      <x:c r="A31" s="243"/>
      <x:c r="B31" s="243"/>
      <x:c r="C31" s="243"/>
    </x:row>
    <x:row r="32">
      <x:c r="A32" s="243"/>
      <x:c r="B32" s="243"/>
      <x:c r="C32" s="243"/>
    </x:row>
    <x:row r="33">
      <x:c r="A33" s="243"/>
      <x:c r="B33" s="243"/>
      <x:c r="C33" s="243"/>
    </x:row>
    <x:row r="34">
      <x:c r="A34" s="243"/>
      <x:c r="B34" s="243"/>
      <x:c r="C34" s="243"/>
    </x:row>
    <x:row r="35">
      <x:c r="A35" s="243"/>
      <x:c r="B35" s="243"/>
      <x:c r="C35" s="243"/>
    </x:row>
    <x:row r="36">
      <x:c r="A36" s="243"/>
      <x:c r="B36" s="243"/>
      <x:c r="C36" s="243"/>
    </x:row>
    <x:row r="37">
      <x:c r="A37" s="243"/>
      <x:c r="B37" s="243"/>
      <x:c r="C37" s="243"/>
    </x:row>
    <x:row r="38">
      <x:c r="A38" s="243"/>
      <x:c r="B38" s="243"/>
      <x:c r="C38" s="243"/>
    </x:row>
    <x:row r="39">
      <x:c r="A39" s="243"/>
      <x:c r="B39" s="243"/>
      <x:c r="C39" s="243"/>
    </x:row>
    <x:row r="40">
      <x:c r="A40" s="243"/>
      <x:c r="B40" s="243"/>
      <x:c r="C40" s="243"/>
    </x:row>
    <x:row r="41">
      <x:c r="A41" s="243"/>
      <x:c r="B41" s="243"/>
      <x:c r="C41" s="243"/>
    </x:row>
    <x:row r="42">
      <x:c r="A42" s="243"/>
      <x:c r="B42" s="243"/>
      <x:c r="C42" s="243"/>
    </x:row>
    <x:row r="43">
      <x:c r="A43" s="243"/>
      <x:c r="B43" s="243"/>
      <x:c r="C43" s="243"/>
    </x:row>
    <x:row r="44">
      <x:c r="A44" s="243"/>
      <x:c r="B44" s="243"/>
      <x:c r="C44" s="243"/>
    </x:row>
    <x:row r="45">
      <x:c r="A45" s="243"/>
      <x:c r="B45" s="243"/>
      <x:c r="C45" s="243"/>
    </x:row>
    <x:row r="46">
      <x:c r="A46" s="243"/>
      <x:c r="B46" s="243"/>
      <x:c r="C46" s="243"/>
    </x:row>
    <x:row r="47">
      <x:c r="A47" s="243"/>
      <x:c r="B47" s="243"/>
      <x:c r="C47" s="243"/>
    </x:row>
    <x:row r="48">
      <x:c r="A48" s="243"/>
      <x:c r="B48" s="243"/>
      <x:c r="C48" s="243"/>
    </x:row>
    <x:row r="49">
      <x:c r="A49" s="243"/>
      <x:c r="B49" s="243"/>
      <x:c r="C49" s="243"/>
    </x:row>
    <x:row r="50">
      <x:c r="A50" s="243"/>
      <x:c r="B50" s="243"/>
      <x:c r="C50" s="243"/>
    </x:row>
    <x:row r="51">
      <x:c r="A51" s="243"/>
      <x:c r="B51" s="243"/>
      <x:c r="C51" s="243"/>
    </x:row>
    <x:row r="52">
      <x:c r="A52" s="243"/>
      <x:c r="B52" s="243"/>
      <x:c r="C52" s="243"/>
    </x:row>
    <x:row r="53">
      <x:c r="A53" s="243"/>
      <x:c r="B53" s="243"/>
      <x:c r="C53" s="243"/>
    </x:row>
    <x:row r="54">
      <x:c r="A54" s="243"/>
      <x:c r="B54" s="243"/>
      <x:c r="C54" s="243"/>
    </x:row>
    <x:row r="55">
      <x:c r="A55" s="243"/>
      <x:c r="B55" s="243"/>
      <x:c r="C55" s="243"/>
    </x:row>
    <x:row r="56">
      <x:c r="A56" s="243"/>
      <x:c r="B56" s="243"/>
      <x:c r="C56" s="243"/>
    </x:row>
    <x:row r="57">
      <x:c r="A57" s="243"/>
      <x:c r="B57" s="243"/>
      <x:c r="C57" s="243"/>
    </x:row>
    <x:row r="58">
      <x:c r="A58" s="243"/>
      <x:c r="B58" s="243"/>
      <x:c r="C58" s="243"/>
    </x:row>
    <x:row r="59">
      <x:c r="A59" s="243"/>
      <x:c r="B59" s="243"/>
      <x:c r="C59" s="243"/>
    </x:row>
    <x:row r="60">
      <x:c r="A60" s="243"/>
      <x:c r="B60" s="243"/>
      <x:c r="C60" s="243"/>
    </x:row>
    <x:row r="61">
      <x:c r="A61" s="243"/>
      <x:c r="B61" s="243"/>
      <x:c r="C61" s="243"/>
    </x:row>
    <x:row r="62">
      <x:c r="A62" s="243"/>
      <x:c r="B62" s="243"/>
      <x:c r="C62" s="243"/>
    </x:row>
    <x:row r="63">
      <x:c r="A63" s="243"/>
      <x:c r="B63" s="243"/>
      <x:c r="C63" s="243"/>
    </x:row>
    <x:row r="64">
      <x:c r="A64" s="243"/>
      <x:c r="B64" s="243"/>
      <x:c r="C64" s="243"/>
    </x:row>
    <x:row r="65">
      <x:c r="A65" s="243"/>
      <x:c r="B65" s="243"/>
      <x:c r="C65" s="243"/>
    </x:row>
    <x:row r="66">
      <x:c r="A66" s="243"/>
      <x:c r="B66" s="243"/>
      <x:c r="C66" s="243"/>
    </x:row>
    <x:row r="67">
      <x:c r="A67" s="243"/>
      <x:c r="B67" s="243"/>
      <x:c r="C67" s="243"/>
    </x:row>
    <x:row r="68">
      <x:c r="A68" s="243"/>
      <x:c r="B68" s="243"/>
      <x:c r="C68" s="243"/>
    </x:row>
    <x:row r="69">
      <x:c r="A69" s="243"/>
      <x:c r="B69" s="243"/>
      <x:c r="C69" s="243"/>
    </x:row>
    <x:row r="70">
      <x:c r="A70" s="243"/>
      <x:c r="B70" s="243"/>
      <x:c r="C70" s="243"/>
    </x:row>
    <x:row r="71">
      <x:c r="A71" s="243"/>
      <x:c r="B71" s="243"/>
      <x:c r="C71" s="243"/>
    </x:row>
    <x:row r="72">
      <x:c r="A72" s="243"/>
      <x:c r="B72" s="243"/>
      <x:c r="C72" s="243"/>
    </x:row>
    <x:row r="73">
      <x:c r="A73" s="243"/>
      <x:c r="B73" s="243"/>
      <x:c r="C73" s="243"/>
    </x:row>
    <x:row r="74">
      <x:c r="A74" s="243"/>
      <x:c r="B74" s="243"/>
      <x:c r="C74" s="243"/>
    </x:row>
    <x:row r="75">
      <x:c r="A75" s="243"/>
      <x:c r="B75" s="243"/>
      <x:c r="C75" s="243"/>
    </x:row>
    <x:row r="76">
      <x:c r="A76" s="243"/>
      <x:c r="B76" s="243"/>
      <x:c r="C76" s="243"/>
    </x:row>
    <x:row r="77">
      <x:c r="A77" s="243"/>
      <x:c r="B77" s="243"/>
      <x:c r="C77" s="243"/>
    </x:row>
    <x:row r="78">
      <x:c r="A78" s="243"/>
      <x:c r="B78" s="243"/>
      <x:c r="C78" s="243"/>
    </x:row>
    <x:row r="79">
      <x:c r="A79" s="243"/>
      <x:c r="B79" s="243"/>
      <x:c r="C79" s="243"/>
    </x:row>
    <x:row r="80">
      <x:c r="A80" s="243"/>
      <x:c r="B80" s="243"/>
      <x:c r="C80" s="243"/>
    </x:row>
    <x:row r="81">
      <x:c r="A81" s="243"/>
      <x:c r="B81" s="243"/>
      <x:c r="C81" s="243"/>
    </x:row>
    <x:row r="82">
      <x:c r="A82" s="243"/>
      <x:c r="B82" s="243"/>
      <x:c r="C82" s="243"/>
    </x:row>
    <x:row r="83">
      <x:c r="A83" s="243"/>
      <x:c r="B83" s="243"/>
      <x:c r="C83" s="243"/>
    </x:row>
    <x:row r="84">
      <x:c r="A84" s="243"/>
      <x:c r="B84" s="243"/>
      <x:c r="C84" s="243"/>
    </x:row>
    <x:row r="85">
      <x:c r="A85" s="243"/>
      <x:c r="B85" s="243"/>
      <x:c r="C85" s="243"/>
    </x:row>
    <x:row r="86">
      <x:c r="A86" s="243"/>
      <x:c r="B86" s="243"/>
      <x:c r="C86" s="243"/>
    </x:row>
    <x:row r="87">
      <x:c r="A87" s="243"/>
      <x:c r="B87" s="243"/>
      <x:c r="C87" s="243"/>
    </x:row>
    <x:row r="88">
      <x:c r="A88" s="243"/>
      <x:c r="B88" s="243"/>
      <x:c r="C88" s="243"/>
    </x:row>
    <x:row r="89">
      <x:c r="A89" s="243"/>
      <x:c r="B89" s="243"/>
      <x:c r="C89" s="243"/>
    </x:row>
    <x:row r="90">
      <x:c r="A90" s="243"/>
      <x:c r="B90" s="243"/>
      <x:c r="C90" s="243"/>
    </x:row>
    <x:row r="91">
      <x:c r="A91" s="243"/>
      <x:c r="B91" s="243"/>
      <x:c r="C91" s="243"/>
    </x:row>
    <x:row r="92">
      <x:c r="A92" s="243"/>
      <x:c r="B92" s="243"/>
      <x:c r="C92" s="243"/>
    </x:row>
    <x:row r="93">
      <x:c r="A93" s="243"/>
      <x:c r="B93" s="243"/>
      <x:c r="C93" s="243"/>
    </x:row>
    <x:row r="94">
      <x:c r="A94" s="243"/>
      <x:c r="B94" s="243"/>
      <x:c r="C94" s="243"/>
    </x:row>
    <x:row r="95">
      <x:c r="A95" s="243"/>
      <x:c r="B95" s="243"/>
      <x:c r="C95" s="243"/>
    </x:row>
    <x:row r="96">
      <x:c r="A96" s="243"/>
      <x:c r="B96" s="243"/>
      <x:c r="C96" s="243"/>
    </x:row>
    <x:row r="97">
      <x:c r="A97" s="243"/>
      <x:c r="B97" s="243"/>
      <x:c r="C97" s="243"/>
    </x:row>
    <x:row r="98">
      <x:c r="A98" s="243"/>
      <x:c r="B98" s="243"/>
      <x:c r="C98" s="243"/>
    </x:row>
    <x:row r="99">
      <x:c r="A99" s="243"/>
      <x:c r="B99" s="243"/>
      <x:c r="C99" s="243"/>
    </x:row>
    <x:row r="100">
      <x:c r="A100" s="243"/>
      <x:c r="B100" s="243"/>
      <x:c r="C100" s="243"/>
    </x:row>
    <x:row r="101">
      <x:c r="A101" s="243"/>
      <x:c r="B101" s="243"/>
      <x:c r="C101" s="243"/>
    </x:row>
    <x:row r="102">
      <x:c r="A102" s="243"/>
      <x:c r="B102" s="243"/>
      <x:c r="C102" s="243"/>
    </x:row>
    <x:row r="103">
      <x:c r="A103" s="243"/>
      <x:c r="B103" s="243"/>
      <x:c r="C103" s="243"/>
    </x:row>
    <x:row r="104">
      <x:c r="A104" s="243"/>
      <x:c r="B104" s="243"/>
      <x:c r="C104" s="243"/>
    </x:row>
    <x:row r="105">
      <x:c r="A105" s="243"/>
      <x:c r="B105" s="243"/>
      <x:c r="C105" s="243"/>
    </x:row>
    <x:row r="106">
      <x:c r="A106" s="243"/>
      <x:c r="B106" s="243"/>
      <x:c r="C106" s="243"/>
    </x:row>
    <x:row r="107">
      <x:c r="A107" s="243"/>
      <x:c r="B107" s="243"/>
      <x:c r="C107" s="243"/>
    </x:row>
    <x:row r="108">
      <x:c r="A108" s="243"/>
      <x:c r="B108" s="243"/>
      <x:c r="C108" s="243"/>
    </x:row>
    <x:row r="109">
      <x:c r="A109" s="243"/>
      <x:c r="B109" s="243"/>
      <x:c r="C109" s="243"/>
    </x:row>
    <x:row r="110">
      <x:c r="A110" s="243"/>
      <x:c r="B110" s="243"/>
      <x:c r="C110" s="243"/>
    </x:row>
    <x:row r="111">
      <x:c r="A111" s="243"/>
      <x:c r="B111" s="243"/>
      <x:c r="C111" s="243"/>
    </x:row>
    <x:row r="112">
      <x:c r="A112" s="243"/>
      <x:c r="B112" s="243"/>
      <x:c r="C112" s="243"/>
    </x:row>
    <x:row r="113">
      <x:c r="A113" s="243"/>
      <x:c r="B113" s="243"/>
      <x:c r="C113" s="243"/>
    </x:row>
    <x:row r="114">
      <x:c r="A114" s="243"/>
      <x:c r="B114" s="243"/>
      <x:c r="C114" s="243"/>
    </x:row>
    <x:row r="115">
      <x:c r="A115" s="243"/>
      <x:c r="B115" s="243"/>
      <x:c r="C115" s="243"/>
    </x:row>
    <x:row r="116">
      <x:c r="A116" s="243"/>
      <x:c r="B116" s="243"/>
      <x:c r="C116" s="243"/>
    </x:row>
    <x:row r="117">
      <x:c r="A117" s="243"/>
      <x:c r="B117" s="243"/>
      <x:c r="C117" s="243"/>
    </x:row>
    <x:row r="118">
      <x:c r="A118" s="243"/>
      <x:c r="B118" s="243"/>
      <x:c r="C118" s="243"/>
    </x:row>
    <x:row r="119">
      <x:c r="A119" s="243"/>
      <x:c r="B119" s="243"/>
      <x:c r="C119" s="243"/>
    </x:row>
    <x:row r="120">
      <x:c r="A120" s="243"/>
      <x:c r="B120" s="243"/>
      <x:c r="C120" s="243"/>
    </x:row>
    <x:row r="121">
      <x:c r="A121" s="243"/>
      <x:c r="B121" s="243"/>
      <x:c r="C121" s="243"/>
    </x:row>
    <x:row r="122">
      <x:c r="A122" s="243"/>
      <x:c r="B122" s="243"/>
      <x:c r="C122" s="243"/>
    </x:row>
    <x:row r="123">
      <x:c r="A123" s="243"/>
      <x:c r="B123" s="243"/>
      <x:c r="C123" s="243"/>
    </x:row>
    <x:row r="124">
      <x:c r="A124" s="243"/>
      <x:c r="B124" s="243"/>
      <x:c r="C124" s="243"/>
    </x:row>
    <x:row r="125">
      <x:c r="A125" s="243"/>
      <x:c r="B125" s="243"/>
      <x:c r="C125" s="243"/>
    </x:row>
    <x:row r="126">
      <x:c r="A126" s="243"/>
      <x:c r="B126" s="243"/>
      <x:c r="C126" s="243"/>
    </x:row>
    <x:row r="127">
      <x:c r="A127" s="243"/>
      <x:c r="B127" s="243"/>
      <x:c r="C127" s="243"/>
    </x:row>
    <x:row r="128">
      <x:c r="A128" s="243"/>
      <x:c r="B128" s="243"/>
      <x:c r="C128" s="243"/>
    </x:row>
    <x:row r="129">
      <x:c r="A129" s="243"/>
      <x:c r="B129" s="243"/>
      <x:c r="C129" s="243"/>
    </x:row>
    <x:row r="130">
      <x:c r="A130" s="243"/>
      <x:c r="B130" s="243"/>
      <x:c r="C130" s="243"/>
    </x:row>
    <x:row r="131">
      <x:c r="A131" s="243"/>
      <x:c r="B131" s="243"/>
      <x:c r="C131" s="243"/>
    </x:row>
    <x:row r="132">
      <x:c r="A132" s="243"/>
      <x:c r="B132" s="243"/>
      <x:c r="C132" s="243"/>
    </x:row>
    <x:row r="133">
      <x:c r="A133" s="243"/>
      <x:c r="B133" s="243"/>
      <x:c r="C133" s="243"/>
    </x:row>
    <x:row r="134">
      <x:c r="A134" s="243"/>
      <x:c r="B134" s="243"/>
      <x:c r="C134" s="243"/>
    </x:row>
    <x:row r="135">
      <x:c r="A135" s="243"/>
      <x:c r="B135" s="243"/>
      <x:c r="C135" s="243"/>
    </x:row>
    <x:row r="136">
      <x:c r="A136" s="243"/>
      <x:c r="B136" s="243"/>
      <x:c r="C136" s="243"/>
    </x:row>
    <x:row r="137">
      <x:c r="A137" s="243"/>
      <x:c r="B137" s="243"/>
      <x:c r="C137" s="243"/>
    </x:row>
    <x:row r="138">
      <x:c r="A138" s="243"/>
      <x:c r="B138" s="243"/>
      <x:c r="C138" s="243"/>
    </x:row>
    <x:row r="139">
      <x:c r="A139" s="243"/>
      <x:c r="B139" s="243"/>
      <x:c r="C139" s="243"/>
    </x:row>
    <x:row r="140">
      <x:c r="A140" s="243"/>
      <x:c r="B140" s="243"/>
      <x:c r="C140" s="243"/>
    </x:row>
    <x:row r="141">
      <x:c r="A141" s="243"/>
      <x:c r="B141" s="243"/>
      <x:c r="C141" s="243"/>
    </x:row>
    <x:row r="142">
      <x:c r="A142" s="243"/>
      <x:c r="B142" s="243"/>
      <x:c r="C142" s="243"/>
    </x:row>
    <x:row r="143">
      <x:c r="A143" s="243"/>
      <x:c r="B143" s="243"/>
      <x:c r="C143" s="243"/>
    </x:row>
    <x:row r="144">
      <x:c r="A144" s="243"/>
      <x:c r="B144" s="243"/>
      <x:c r="C144" s="243"/>
    </x:row>
    <x:row r="145">
      <x:c r="A145" s="243"/>
      <x:c r="B145" s="243"/>
      <x:c r="C145" s="243"/>
    </x:row>
    <x:row r="146">
      <x:c r="A146" s="243"/>
      <x:c r="B146" s="243"/>
      <x:c r="C146" s="243"/>
    </x:row>
    <x:row r="147">
      <x:c r="A147" s="243"/>
      <x:c r="B147" s="243"/>
      <x:c r="C147" s="243"/>
    </x:row>
    <x:row r="148">
      <x:c r="A148" s="243"/>
      <x:c r="B148" s="243"/>
      <x:c r="C148" s="243"/>
    </x:row>
    <x:row r="149">
      <x:c r="A149" s="243"/>
      <x:c r="B149" s="243"/>
      <x:c r="C149" s="243"/>
    </x:row>
    <x:row r="150">
      <x:c r="A150" s="243"/>
      <x:c r="B150" s="243"/>
      <x:c r="C150" s="243"/>
    </x:row>
    <x:row r="151">
      <x:c r="A151" s="243"/>
      <x:c r="B151" s="243"/>
      <x:c r="C151" s="243"/>
    </x:row>
    <x:row r="152">
      <x:c r="A152" s="243"/>
      <x:c r="B152" s="243"/>
      <x:c r="C152" s="243"/>
    </x:row>
    <x:row r="153">
      <x:c r="A153" s="243"/>
      <x:c r="B153" s="243"/>
      <x:c r="C153" s="243"/>
    </x:row>
    <x:row r="154">
      <x:c r="A154" s="243"/>
      <x:c r="B154" s="243"/>
      <x:c r="C154" s="243"/>
    </x:row>
    <x:row r="155">
      <x:c r="A155" s="243"/>
      <x:c r="B155" s="243"/>
      <x:c r="C155" s="243"/>
    </x:row>
    <x:row r="156">
      <x:c r="A156" s="243"/>
      <x:c r="B156" s="243"/>
      <x:c r="C156" s="243"/>
    </x:row>
    <x:row r="157">
      <x:c r="A157" s="243"/>
      <x:c r="B157" s="243"/>
      <x:c r="C157" s="243"/>
    </x:row>
    <x:row r="158">
      <x:c r="A158" s="243"/>
      <x:c r="B158" s="243"/>
      <x:c r="C158" s="243"/>
    </x:row>
    <x:row r="159">
      <x:c r="A159" s="243"/>
      <x:c r="B159" s="243"/>
      <x:c r="C159" s="243"/>
    </x:row>
    <x:row r="160">
      <x:c r="A160" s="243"/>
      <x:c r="B160" s="243"/>
      <x:c r="C160" s="243"/>
    </x:row>
    <x:row r="161">
      <x:c r="A161" s="243"/>
      <x:c r="B161" s="243"/>
      <x:c r="C161" s="243"/>
    </x:row>
    <x:row r="162">
      <x:c r="A162" s="243"/>
      <x:c r="B162" s="243"/>
      <x:c r="C162" s="243"/>
    </x:row>
    <x:row r="163">
      <x:c r="A163" s="243"/>
      <x:c r="B163" s="243"/>
      <x:c r="C163" s="243"/>
    </x:row>
    <x:row r="164">
      <x:c r="A164" s="243"/>
      <x:c r="B164" s="243"/>
      <x:c r="C164" s="243"/>
    </x:row>
    <x:row r="165">
      <x:c r="A165" s="243"/>
      <x:c r="B165" s="243"/>
      <x:c r="C165" s="243"/>
    </x:row>
    <x:row r="166">
      <x:c r="A166" s="243"/>
      <x:c r="B166" s="243"/>
      <x:c r="C166" s="243"/>
    </x:row>
    <x:row r="167">
      <x:c r="A167" s="243"/>
      <x:c r="B167" s="243"/>
      <x:c r="C167" s="243"/>
    </x:row>
    <x:row r="168">
      <x:c r="A168" s="243"/>
      <x:c r="B168" s="243"/>
      <x:c r="C168" s="243"/>
    </x:row>
    <x:row r="169">
      <x:c r="A169" s="243"/>
      <x:c r="B169" s="243"/>
      <x:c r="C169" s="243"/>
    </x:row>
    <x:row r="170">
      <x:c r="A170" s="243"/>
      <x:c r="B170" s="243"/>
      <x:c r="C170" s="243"/>
    </x:row>
    <x:row r="171">
      <x:c r="A171" s="243"/>
      <x:c r="B171" s="243"/>
      <x:c r="C171" s="243"/>
    </x:row>
    <x:row r="172">
      <x:c r="A172" s="243"/>
      <x:c r="B172" s="243"/>
      <x:c r="C172" s="243"/>
    </x:row>
    <x:row r="173">
      <x:c r="A173" s="243"/>
      <x:c r="B173" s="243"/>
      <x:c r="C173" s="243"/>
    </x:row>
    <x:row r="174">
      <x:c r="A174" s="243"/>
      <x:c r="B174" s="243"/>
      <x:c r="C174" s="243"/>
    </x:row>
    <x:row r="175">
      <x:c r="A175" s="243"/>
      <x:c r="B175" s="243"/>
      <x:c r="C175" s="243"/>
    </x:row>
    <x:row r="176">
      <x:c r="A176" s="243"/>
      <x:c r="B176" s="243"/>
      <x:c r="C176" s="243"/>
    </x:row>
    <x:row r="177">
      <x:c r="A177" s="243"/>
      <x:c r="B177" s="243"/>
      <x:c r="C177" s="243"/>
    </x:row>
    <x:row r="178">
      <x:c r="A178" s="243"/>
      <x:c r="B178" s="243"/>
      <x:c r="C178" s="243"/>
    </x:row>
    <x:row r="179">
      <x:c r="A179" s="243"/>
      <x:c r="B179" s="243"/>
      <x:c r="C179" s="243"/>
    </x:row>
    <x:row r="180">
      <x:c r="A180" s="243"/>
      <x:c r="B180" s="243"/>
      <x:c r="C180" s="243"/>
    </x:row>
    <x:row r="181">
      <x:c r="A181" s="243"/>
      <x:c r="B181" s="243"/>
      <x:c r="C181" s="243"/>
    </x:row>
    <x:row r="182">
      <x:c r="A182" s="243"/>
      <x:c r="B182" s="243"/>
      <x:c r="C182" s="243"/>
    </x:row>
    <x:row r="183">
      <x:c r="A183" s="243"/>
      <x:c r="B183" s="243"/>
      <x:c r="C183" s="243"/>
    </x:row>
    <x:row r="184">
      <x:c r="A184" s="243"/>
      <x:c r="B184" s="243"/>
      <x:c r="C184" s="243"/>
    </x:row>
    <x:row r="185">
      <x:c r="A185" s="243"/>
      <x:c r="B185" s="243"/>
      <x:c r="C185" s="243"/>
    </x:row>
    <x:row r="186">
      <x:c r="A186" s="243"/>
      <x:c r="B186" s="243"/>
      <x:c r="C186" s="243"/>
    </x:row>
    <x:row r="187">
      <x:c r="A187" s="243"/>
      <x:c r="B187" s="243"/>
      <x:c r="C187" s="243"/>
    </x:row>
    <x:row r="188">
      <x:c r="A188" s="243"/>
      <x:c r="B188" s="243"/>
      <x:c r="C188" s="243"/>
    </x:row>
    <x:row r="189">
      <x:c r="A189" s="243"/>
      <x:c r="B189" s="243"/>
      <x:c r="C189" s="243"/>
    </x:row>
    <x:row r="190">
      <x:c r="A190" s="243"/>
      <x:c r="B190" s="243"/>
      <x:c r="C190" s="243"/>
    </x:row>
    <x:row r="191">
      <x:c r="A191" s="243"/>
      <x:c r="B191" s="243"/>
      <x:c r="C191" s="243"/>
    </x:row>
    <x:row r="192">
      <x:c r="A192" s="243"/>
      <x:c r="B192" s="243"/>
      <x:c r="C192" s="243"/>
    </x:row>
    <x:row r="193">
      <x:c r="A193" s="243"/>
      <x:c r="B193" s="243"/>
      <x:c r="C193" s="243"/>
    </x:row>
    <x:row r="194">
      <x:c r="A194" s="243"/>
      <x:c r="B194" s="243"/>
      <x:c r="C194" s="243"/>
    </x:row>
    <x:row r="195">
      <x:c r="A195" s="243"/>
      <x:c r="B195" s="243"/>
      <x:c r="C195" s="243"/>
    </x:row>
    <x:row r="196">
      <x:c r="A196" s="243"/>
      <x:c r="B196" s="243"/>
      <x:c r="C196" s="243"/>
    </x:row>
    <x:row r="197">
      <x:c r="A197" s="243"/>
      <x:c r="B197" s="243"/>
      <x:c r="C197" s="243"/>
    </x:row>
    <x:row r="198">
      <x:c r="A198" s="243"/>
      <x:c r="B198" s="243"/>
      <x:c r="C198" s="243"/>
    </x:row>
    <x:row r="199">
      <x:c r="A199" s="243"/>
      <x:c r="B199" s="243"/>
      <x:c r="C199" s="243"/>
    </x:row>
    <x:row r="200">
      <x:c r="A200" s="243"/>
      <x:c r="B200" s="243"/>
      <x:c r="C200" s="243"/>
    </x:row>
  </x:sheetData>
  <x:mergeCells>
    <x:mergeCell ref="A1:BU1"/>
    <x:mergeCell ref="AH17:AQ17"/>
    <x:mergeCell ref="BL4:BU4"/>
    <x:mergeCell ref="BB4:BK4"/>
    <x:mergeCell ref="AH4:AQ4"/>
    <x:mergeCell ref="AR17:BA17"/>
    <x:mergeCell ref="BL17:BU17"/>
    <x:mergeCell ref="BB17:BK17"/>
    <x:mergeCell ref="D4:M4"/>
    <x:mergeCell ref="N17:W17"/>
    <x:mergeCell ref="D17:M17"/>
    <x:mergeCell ref="X4:AG4"/>
    <x:mergeCell ref="AR4:BA4"/>
    <x:mergeCell ref="A14:BU14"/>
    <x:mergeCell ref="N4:W4"/>
    <x:mergeCell ref="X17:AG17"/>
    <x:mergeCell ref="A25:BU25"/>
    <x:mergeCell ref="H27:I27"/>
    <x:mergeCell ref="A28:H28"/>
    <x:mergeCell ref="I28:J29"/>
    <x:mergeCell ref="A29:H29"/>
    <x:mergeCell ref="A5:A8"/>
    <x:mergeCell ref="A18:A19"/>
    <x:mergeCell ref="A20:A21"/>
  </x:mergeCells>
  <x:conditionalFormatting sqref="D14:BU18">
    <x:cfRule type="expression" dxfId="10" priority="2">
      <x:formula>AND(COLUMN()-COLUMN($D$14)+1&gt;SUM($C$13:$C13)*2,COLUMN()-COLUMN($D$14)+1&lt;=SUM($C$13:$C14)*2)</x:formula>
    </x:cfRule>
  </x:conditionalFormatting>
  <x:conditionalFormatting sqref="D5:BU8">
    <x:cfRule type="expression" dxfId="11" priority="3">
      <x:formula>AND(COLUMN()-COLUMN($D$5)+1&gt;2*SUM($C$4:$C4),COLUMN()-COLUMN($D$5)+1&lt;=2*SUM($C$4:$C5),$C5&gt;0)</x:formula>
    </x:cfRule>
  </x:conditionalFormatting>
  <x:conditionalFormatting sqref="D18:BU22">
    <x:cfRule type="expression" dxfId="12" priority="4">
      <x:formula>AND(COLUMN()-COLUMN($D$18)+1&gt;2*SUM($C$17:$C17),COLUMN()-COLUMN($D$18)+1&lt;=2*SUM($C$17:$C18),$C18&gt;0)</x:formula>
    </x:cfRule>
  </x:conditionalFormatting>
  <x:conditionalFormatting sqref="D5:BL5">
    <x:cfRule type="expression" dxfId="13" priority="5">
      <x:formula>AND(COLUMN()-COLUMN($D$5)+1&gt;0,COLUMN()-COLUMN($D$5)+1&lt;=SUM($C$5:$C$5)*2)</x:formula>
    </x:cfRule>
  </x:conditionalFormatting>
  <x:conditionalFormatting sqref="D6:BL6">
    <x:cfRule type="expression" dxfId="14" priority="6">
      <x:formula>AND(COLUMN()-COLUMN($D$5)+1&gt;SUM($C$5:$C$5)*2,COLUMN()-COLUMN($D$5)+1&lt;=SUM($C$5:$C$6)*2)</x:formula>
    </x:cfRule>
  </x:conditionalFormatting>
  <x:conditionalFormatting sqref="D7:BL7">
    <x:cfRule type="expression" dxfId="15" priority="7">
      <x:formula>AND(COLUMN()-COLUMN($D$5)+1&gt;SUM($C$5:$C$6)*2,COLUMN()-COLUMN($D$5)+1&lt;=SUM($C$5:$C$7)*2)</x:formula>
    </x:cfRule>
  </x:conditionalFormatting>
  <x:conditionalFormatting sqref="D8:BL8">
    <x:cfRule type="expression" dxfId="16" priority="8">
      <x:formula>AND(COLUMN()-COLUMN($D$5)+1&gt;SUM($C$5:$C$7)*2,COLUMN()-COLUMN($D$5)+1&lt;=SUM($C$5:$C$8)*2)</x:formula>
    </x:cfRule>
  </x:conditionalFormatting>
  <x:conditionalFormatting sqref="D18:BL18">
    <x:cfRule type="expression" dxfId="17" priority="9">
      <x:formula>AND(COLUMN()-COLUMN($D$18)+1&gt;0,COLUMN()-COLUMN($D$18)+1&lt;=SUM($C$18:$C$18)*2)</x:formula>
    </x:cfRule>
  </x:conditionalFormatting>
  <x:conditionalFormatting sqref="D19:BL19">
    <x:cfRule type="expression" dxfId="18" priority="10">
      <x:formula>AND(COLUMN()-COLUMN($D$18)+1&gt;SUM($C$18:$C$18)*2,COLUMN()-COLUMN($D$18)+1&lt;=SUM($C$18:$C$19)*2)</x:formula>
    </x:cfRule>
  </x:conditionalFormatting>
  <x:conditionalFormatting sqref="D20:BL20">
    <x:cfRule type="expression" dxfId="19" priority="11">
      <x:formula>AND(COLUMN()-COLUMN($D$18)+1&gt;SUM($C$18:$C$19)*2,COLUMN()-COLUMN($D$18)+1&lt;=SUM($C$18:$C$20)*2)</x:formula>
    </x:cfRule>
  </x:conditionalFormatting>
  <x:conditionalFormatting sqref="D21:BL21">
    <x:cfRule type="expression" dxfId="20" priority="12">
      <x:formula>AND(COLUMN()-COLUMN($D$18)+1&gt;SUM($C$18:$C$20)*2,COLUMN()-COLUMN($D$18)+1&lt;=SUM($C$18:$C$21)*2)</x:formula>
    </x:cfRule>
  </x:conditionalFormatting>
  <x:conditionalFormatting sqref="D22:BL22">
    <x:cfRule type="expression" dxfId="21" priority="13">
      <x:formula>AND(COLUMN()-COLUMN($D$18)+1&gt;SUM($C$18:$C$21)*2,COLUMN()-COLUMN($D$18)+1&lt;=SUM($C$18:$C$22)*2)</x:formula>
    </x:cfRule>
  </x:conditionalFormatting>
  <x:pageMargins left="0.7" right="0.7" top="0.75" bottom="0.75" header="0.3" footer="0.3"/>
</x:worksheet>
</file>